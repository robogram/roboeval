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항마스터" sheetId="1" state="visible" r:id="rId1"/>
    <sheet xmlns:r="http://schemas.openxmlformats.org/officeDocument/2006/relationships" name="정답분포요약" sheetId="2" state="visible" r:id="rId2"/>
    <sheet xmlns:r="http://schemas.openxmlformats.org/officeDocument/2006/relationships" name="난이도요약" sheetId="3" state="visible" r:id="rId3"/>
    <sheet xmlns:r="http://schemas.openxmlformats.org/officeDocument/2006/relationships" name="anchor요약" sheetId="4" state="visible" r:id="rId4"/>
    <sheet xmlns:r="http://schemas.openxmlformats.org/officeDocument/2006/relationships" name="운영메모" sheetId="5" state="visible" r:id="rId5"/>
    <sheet xmlns:r="http://schemas.openxmlformats.org/officeDocument/2006/relationships" name="응답데이터템플릿" sheetId="6" state="visible" r:id="rId6"/>
    <sheet xmlns:r="http://schemas.openxmlformats.org/officeDocument/2006/relationships" name="지표정의서" sheetId="7" state="visible" r:id="rId7"/>
    <sheet xmlns:r="http://schemas.openxmlformats.org/officeDocument/2006/relationships" name="대시보드설계" sheetId="8" state="visible" r:id="rId8"/>
    <sheet xmlns:r="http://schemas.openxmlformats.org/officeDocument/2006/relationships" name="보고서문구" sheetId="9" state="visible" r:id="rId9"/>
    <sheet xmlns:r="http://schemas.openxmlformats.org/officeDocument/2006/relationships" name="분석플로우" sheetId="10" state="visible" r:id="rId10"/>
  </sheets>
  <definedNames>
    <definedName name="_xlnm._FilterDatabase" localSheetId="0" hidden="1">'문항마스터'!$A$1:$W$181</definedName>
    <definedName name="_xlnm._FilterDatabase" localSheetId="1" hidden="1">'정답분포요약'!$A$1:$G$19</definedName>
    <definedName name="_xlnm._FilterDatabase" localSheetId="2" hidden="1">'난이도요약'!$A$1:$F$19</definedName>
    <definedName name="_xlnm._FilterDatabase" localSheetId="3" hidden="1">'anchor요약'!$A$1:$H$37</definedName>
    <definedName name="_xlnm._FilterDatabase" localSheetId="5" hidden="1">'응답데이터템플릿'!$A$1:$W$4</definedName>
    <definedName name="_xlnm._FilterDatabase" localSheetId="6" hidden="1">'지표정의서'!$A$1:$H$23</definedName>
    <definedName name="_xlnm._FilterDatabase" localSheetId="7" hidden="1">'대시보드설계'!$A$1:$K$16</definedName>
    <definedName name="_xlnm._FilterDatabase" localSheetId="8" hidden="1">'보고서문구'!$A$1:$D$9</definedName>
    <definedName name="_xlnm._FilterDatabase" localSheetId="9" hidden="1">'분석플로우'!$A$1:$D$7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E2F0D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DF2E9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center" vertical="top" wrapText="1"/>
    </xf>
    <xf numFmtId="0" fontId="2" fillId="5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0" fillId="6" borderId="0" applyAlignment="1" pivotButton="0" quotePrefix="0" xfId="0">
      <alignment horizontal="center" vertical="top" wrapText="1"/>
    </xf>
    <xf numFmtId="0" fontId="0" fillId="7" borderId="0" applyAlignment="1" pivotButton="0" quotePrefix="0" xfId="0">
      <alignment horizontal="center" vertical="top" wrapText="1"/>
    </xf>
    <xf numFmtId="0" fontId="0" fillId="7" borderId="0" applyAlignment="1" pivotButton="0" quotePrefix="0" xfId="0">
      <alignment horizontal="left" vertical="top" wrapText="1"/>
    </xf>
    <xf numFmtId="0" fontId="0" fillId="8" borderId="0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8" customWidth="1" min="4" max="4"/>
    <col width="8" customWidth="1" min="5" max="5"/>
    <col width="24" customWidth="1" min="6" max="6"/>
    <col width="8" customWidth="1" min="7" max="7"/>
    <col width="12" customWidth="1" min="8" max="8"/>
    <col width="14" customWidth="1" min="9" max="9"/>
    <col width="10" customWidth="1" min="10" max="10"/>
    <col width="10" customWidth="1" min="11" max="11"/>
    <col width="16" customWidth="1" min="12" max="12"/>
    <col width="18" customWidth="1" min="13" max="13"/>
    <col width="42" customWidth="1" min="14" max="14"/>
    <col width="26" customWidth="1" min="15" max="15"/>
    <col width="26" customWidth="1" min="16" max="16"/>
    <col width="26" customWidth="1" min="17" max="17"/>
    <col width="26" customWidth="1" min="18" max="18"/>
    <col width="10" customWidth="1" min="19" max="19"/>
    <col width="26" customWidth="1" min="20" max="20"/>
    <col width="18" customWidth="1" min="21" max="21"/>
    <col width="48" customWidth="1" min="22" max="22"/>
    <col width="24" customWidth="1" min="23" max="23"/>
  </cols>
  <sheetData>
    <row r="1">
      <c r="A1" s="1" t="inlineStr">
        <is>
          <t>item_id</t>
        </is>
      </c>
      <c r="B1" s="1" t="inlineStr">
        <is>
          <t>school_level</t>
        </is>
      </c>
      <c r="C1" s="1" t="inlineStr">
        <is>
          <t>grade</t>
        </is>
      </c>
      <c r="D1" s="1" t="inlineStr">
        <is>
          <t>lesson_no</t>
        </is>
      </c>
      <c r="E1" s="1" t="inlineStr">
        <is>
          <t>pool_no</t>
        </is>
      </c>
      <c r="F1" s="1" t="inlineStr">
        <is>
          <t>pool_name</t>
        </is>
      </c>
      <c r="G1" s="1" t="inlineStr">
        <is>
          <t>item_num</t>
        </is>
      </c>
      <c r="H1" s="1" t="inlineStr">
        <is>
          <t>domain_code</t>
        </is>
      </c>
      <c r="I1" s="1" t="inlineStr">
        <is>
          <t>domain</t>
        </is>
      </c>
      <c r="J1" s="1" t="inlineStr">
        <is>
          <t>difficulty_band</t>
        </is>
      </c>
      <c r="K1" s="1" t="inlineStr">
        <is>
          <t>anchor_flag</t>
        </is>
      </c>
      <c r="L1" s="1" t="inlineStr">
        <is>
          <t>anchor_code</t>
        </is>
      </c>
      <c r="M1" s="1" t="inlineStr">
        <is>
          <t>anchor_type</t>
        </is>
      </c>
      <c r="N1" s="1" t="inlineStr">
        <is>
          <t>question</t>
        </is>
      </c>
      <c r="O1" s="1" t="inlineStr">
        <is>
          <t>opt1</t>
        </is>
      </c>
      <c r="P1" s="1" t="inlineStr">
        <is>
          <t>opt2</t>
        </is>
      </c>
      <c r="Q1" s="1" t="inlineStr">
        <is>
          <t>opt3</t>
        </is>
      </c>
      <c r="R1" s="1" t="inlineStr">
        <is>
          <t>opt4</t>
        </is>
      </c>
      <c r="S1" s="1" t="inlineStr">
        <is>
          <t>answer_no</t>
        </is>
      </c>
      <c r="T1" s="1" t="inlineStr">
        <is>
          <t>answer_text</t>
        </is>
      </c>
      <c r="U1" s="1" t="inlineStr">
        <is>
          <t>teacher_interpretation_short</t>
        </is>
      </c>
      <c r="V1" s="1" t="inlineStr">
        <is>
          <t>teacher_explanation</t>
        </is>
      </c>
      <c r="W1" s="1" t="inlineStr">
        <is>
          <t>answer_balance_pattern</t>
        </is>
      </c>
    </row>
    <row r="2">
      <c r="A2" s="2" t="inlineStr">
        <is>
          <t>E4-P1-01</t>
        </is>
      </c>
      <c r="B2" s="2" t="inlineStr">
        <is>
          <t>초등</t>
        </is>
      </c>
      <c r="C2" s="2" t="inlineStr">
        <is>
          <t>초4</t>
        </is>
      </c>
      <c r="D2" s="2" t="n">
        <v>1</v>
      </c>
      <c r="E2" s="2" t="n">
        <v>1</v>
      </c>
      <c r="F2" s="3" t="inlineStr">
        <is>
          <t>1번 문항풀(디지털 기초소양)</t>
        </is>
      </c>
      <c r="G2" s="2" t="n">
        <v>1</v>
      </c>
      <c r="H2" s="2" t="inlineStr">
        <is>
          <t>PRIV</t>
        </is>
      </c>
      <c r="I2" s="3" t="inlineStr">
        <is>
          <t>개인정보 보호</t>
        </is>
      </c>
      <c r="J2" s="4" t="inlineStr">
        <is>
          <t>A</t>
        </is>
      </c>
      <c r="K2" s="5" t="inlineStr">
        <is>
          <t>Y</t>
        </is>
      </c>
      <c r="L2" s="5" t="inlineStr">
        <is>
          <t>초4-P1-A1</t>
        </is>
      </c>
      <c r="M2" s="5" t="inlineStr">
        <is>
          <t>기초 기준문항</t>
        </is>
      </c>
      <c r="N2" s="6" t="inlineStr">
        <is>
          <t>온라인 게임 채팅방에서 처음 보는 사람이 내 전화번호를 알려 달라고 했다. 가장 알맞은 행동은?</t>
        </is>
      </c>
      <c r="O2" s="6" t="inlineStr">
        <is>
          <t>알려 주지 않고 믿을 만한 어른에게 말한다</t>
        </is>
      </c>
      <c r="P2" s="6" t="inlineStr">
        <is>
          <t>바로 알려 준다</t>
        </is>
      </c>
      <c r="Q2" s="6" t="inlineStr">
        <is>
          <t>친구 전화번호도 함께 알려 준다</t>
        </is>
      </c>
      <c r="R2" s="6" t="inlineStr">
        <is>
          <t>장난으로 틀린 번호를 보낸다</t>
        </is>
      </c>
      <c r="S2" s="7" t="n">
        <v>1</v>
      </c>
      <c r="T2" s="6" t="inlineStr">
        <is>
          <t>알려 주지 않고 믿을 만한 어른에게 말한다</t>
        </is>
      </c>
      <c r="U2" s="7" t="inlineStr">
        <is>
          <t>개인정보 보호 기초 판단</t>
        </is>
      </c>
      <c r="V2" s="6" t="inlineStr">
        <is>
          <t>초4 1번 문항풀의 개인정보 보호 영역 진단 문항입니다. 학생이 개인정보 노출 위험을 인식하고 안전한 대응을 선택하는지를 확인하는 데 활용합니다.</t>
        </is>
      </c>
      <c r="W2" s="7" t="inlineStr">
        <is>
          <t>1-2-3-4-1-2-3-4-1-2</t>
        </is>
      </c>
    </row>
    <row r="3">
      <c r="A3" s="2" t="inlineStr">
        <is>
          <t>E4-P1-02</t>
        </is>
      </c>
      <c r="B3" s="2" t="inlineStr">
        <is>
          <t>초등</t>
        </is>
      </c>
      <c r="C3" s="2" t="inlineStr">
        <is>
          <t>초4</t>
        </is>
      </c>
      <c r="D3" s="2" t="n">
        <v>1</v>
      </c>
      <c r="E3" s="2" t="n">
        <v>1</v>
      </c>
      <c r="F3" s="3" t="inlineStr">
        <is>
          <t>1번 문항풀(디지털 기초소양)</t>
        </is>
      </c>
      <c r="G3" s="2" t="n">
        <v>2</v>
      </c>
      <c r="H3" s="2" t="inlineStr">
        <is>
          <t>SAFE_ACC</t>
        </is>
      </c>
      <c r="I3" s="3" t="inlineStr">
        <is>
          <t>계정 안전</t>
        </is>
      </c>
      <c r="J3" s="4" t="inlineStr">
        <is>
          <t>A</t>
        </is>
      </c>
      <c r="K3" s="2" t="inlineStr">
        <is>
          <t>N</t>
        </is>
      </c>
      <c r="L3" s="2" t="inlineStr"/>
      <c r="M3" s="2" t="inlineStr"/>
      <c r="N3" s="6" t="inlineStr">
        <is>
          <t>내 비밀번호를 친구가 같이 쓰자고 할 때 가장 알맞은 행동은?</t>
        </is>
      </c>
      <c r="O3" s="6" t="inlineStr">
        <is>
          <t>친한 친구니까 알려 준다</t>
        </is>
      </c>
      <c r="P3" s="6" t="inlineStr">
        <is>
          <t>비밀번호는 나만 알고 있어야 한다고 말한다</t>
        </is>
      </c>
      <c r="Q3" s="6" t="inlineStr">
        <is>
          <t>한 번만 보여 준다</t>
        </is>
      </c>
      <c r="R3" s="6" t="inlineStr">
        <is>
          <t>종이에 적어 친구에게 준다</t>
        </is>
      </c>
      <c r="S3" s="7" t="n">
        <v>2</v>
      </c>
      <c r="T3" s="6" t="inlineStr">
        <is>
          <t>비밀번호는 나만 알고 있어야 한다고 말한다</t>
        </is>
      </c>
      <c r="U3" s="7" t="inlineStr">
        <is>
          <t>계정 안전 기초 판단</t>
        </is>
      </c>
      <c r="V3" s="6" t="inlineStr">
        <is>
          <t>초4 1번 문항풀의 계정 안전 영역 진단 문항입니다. 학생이 계정 보안의 기본 원칙을 이해하고 실천하려는지를 확인하는 데 활용합니다.</t>
        </is>
      </c>
      <c r="W3" s="7" t="inlineStr">
        <is>
          <t>1-2-3-4-1-2-3-4-1-2</t>
        </is>
      </c>
    </row>
    <row r="4">
      <c r="A4" s="2" t="inlineStr">
        <is>
          <t>E4-P1-03</t>
        </is>
      </c>
      <c r="B4" s="2" t="inlineStr">
        <is>
          <t>초등</t>
        </is>
      </c>
      <c r="C4" s="2" t="inlineStr">
        <is>
          <t>초4</t>
        </is>
      </c>
      <c r="D4" s="2" t="n">
        <v>1</v>
      </c>
      <c r="E4" s="2" t="n">
        <v>1</v>
      </c>
      <c r="F4" s="3" t="inlineStr">
        <is>
          <t>1번 문항풀(디지털 기초소양)</t>
        </is>
      </c>
      <c r="G4" s="2" t="n">
        <v>3</v>
      </c>
      <c r="H4" s="2" t="inlineStr">
        <is>
          <t>NET_ETI</t>
        </is>
      </c>
      <c r="I4" s="3" t="inlineStr">
        <is>
          <t>디지털 예절</t>
        </is>
      </c>
      <c r="J4" s="4" t="inlineStr">
        <is>
          <t>A</t>
        </is>
      </c>
      <c r="K4" s="2" t="inlineStr">
        <is>
          <t>N</t>
        </is>
      </c>
      <c r="L4" s="2" t="inlineStr"/>
      <c r="M4" s="2" t="inlineStr"/>
      <c r="N4" s="6" t="inlineStr">
        <is>
          <t>단체 채팅방에서 친구가 실수했을 때 가장 바른 말은?</t>
        </is>
      </c>
      <c r="O4" s="6" t="inlineStr">
        <is>
          <t>다른 친구들과 함께 놀린다</t>
        </is>
      </c>
      <c r="P4" s="6" t="inlineStr">
        <is>
          <t>기분 나쁘게 별명을 붙인다</t>
        </is>
      </c>
      <c r="Q4" s="6" t="inlineStr">
        <is>
          <t>차분하게 알려 주거나 그냥 넘어간다</t>
        </is>
      </c>
      <c r="R4" s="6" t="inlineStr">
        <is>
          <t>캡처해서 다른 방에 올린다</t>
        </is>
      </c>
      <c r="S4" s="7" t="n">
        <v>3</v>
      </c>
      <c r="T4" s="6" t="inlineStr">
        <is>
          <t>차분하게 알려 주거나 그냥 넘어간다</t>
        </is>
      </c>
      <c r="U4" s="7" t="inlineStr">
        <is>
          <t>디지털 예절 기초 판단</t>
        </is>
      </c>
      <c r="V4" s="6" t="inlineStr">
        <is>
          <t>초4 1번 문항풀의 디지털 예절 영역 진단 문항입니다. 학생이 온라인 의사소통에서 기본 예절을 지키는지를 확인하는 데 활용합니다.</t>
        </is>
      </c>
      <c r="W4" s="7" t="inlineStr">
        <is>
          <t>1-2-3-4-1-2-3-4-1-2</t>
        </is>
      </c>
    </row>
    <row r="5">
      <c r="A5" s="2" t="inlineStr">
        <is>
          <t>E4-P1-04</t>
        </is>
      </c>
      <c r="B5" s="2" t="inlineStr">
        <is>
          <t>초등</t>
        </is>
      </c>
      <c r="C5" s="2" t="inlineStr">
        <is>
          <t>초4</t>
        </is>
      </c>
      <c r="D5" s="2" t="n">
        <v>1</v>
      </c>
      <c r="E5" s="2" t="n">
        <v>1</v>
      </c>
      <c r="F5" s="3" t="inlineStr">
        <is>
          <t>1번 문항풀(디지털 기초소양)</t>
        </is>
      </c>
      <c r="G5" s="2" t="n">
        <v>4</v>
      </c>
      <c r="H5" s="2" t="inlineStr">
        <is>
          <t>NET_ETI</t>
        </is>
      </c>
      <c r="I5" s="3" t="inlineStr">
        <is>
          <t>디지털 예절</t>
        </is>
      </c>
      <c r="J5" s="8" t="inlineStr">
        <is>
          <t>B</t>
        </is>
      </c>
      <c r="K5" s="2" t="inlineStr">
        <is>
          <t>N</t>
        </is>
      </c>
      <c r="L5" s="2" t="inlineStr"/>
      <c r="M5" s="2" t="inlineStr"/>
      <c r="N5" s="6" t="inlineStr">
        <is>
          <t>수업용 태블릿으로 친구와 대화할 때 바른 행동은?</t>
        </is>
      </c>
      <c r="O5" s="6" t="inlineStr">
        <is>
          <t>친구가 싫어하는 말을 반복한다</t>
        </is>
      </c>
      <c r="P5" s="6" t="inlineStr">
        <is>
          <t>큰 글씨로 화난 말을 보낸다</t>
        </is>
      </c>
      <c r="Q5" s="6" t="inlineStr">
        <is>
          <t>이모티콘만 계속 보낸다</t>
        </is>
      </c>
      <c r="R5" s="6" t="inlineStr">
        <is>
          <t>예의 있게 말하고 필요한 내용만 보낸다</t>
        </is>
      </c>
      <c r="S5" s="7" t="n">
        <v>4</v>
      </c>
      <c r="T5" s="6" t="inlineStr">
        <is>
          <t>예의 있게 말하고 필요한 내용만 보낸다</t>
        </is>
      </c>
      <c r="U5" s="7" t="inlineStr">
        <is>
          <t>디지털 예절 기초 판단</t>
        </is>
      </c>
      <c r="V5" s="6" t="inlineStr">
        <is>
          <t>초4 1번 문항풀의 디지털 예절 영역 진단 문항입니다. 학생이 온라인 의사소통에서 기본 예절을 지키는지를 확인하는 데 활용합니다.</t>
        </is>
      </c>
      <c r="W5" s="7" t="inlineStr">
        <is>
          <t>1-2-3-4-1-2-3-4-1-2</t>
        </is>
      </c>
    </row>
    <row r="6">
      <c r="A6" s="2" t="inlineStr">
        <is>
          <t>E4-P1-05</t>
        </is>
      </c>
      <c r="B6" s="2" t="inlineStr">
        <is>
          <t>초등</t>
        </is>
      </c>
      <c r="C6" s="2" t="inlineStr">
        <is>
          <t>초4</t>
        </is>
      </c>
      <c r="D6" s="2" t="n">
        <v>1</v>
      </c>
      <c r="E6" s="2" t="n">
        <v>1</v>
      </c>
      <c r="F6" s="3" t="inlineStr">
        <is>
          <t>1번 문항풀(디지털 기초소양)</t>
        </is>
      </c>
      <c r="G6" s="2" t="n">
        <v>5</v>
      </c>
      <c r="H6" s="2" t="inlineStr">
        <is>
          <t>INFO</t>
        </is>
      </c>
      <c r="I6" s="3" t="inlineStr">
        <is>
          <t>정보 신뢰성</t>
        </is>
      </c>
      <c r="J6" s="8" t="inlineStr">
        <is>
          <t>B</t>
        </is>
      </c>
      <c r="K6" s="5" t="inlineStr">
        <is>
          <t>Y</t>
        </is>
      </c>
      <c r="L6" s="5" t="inlineStr">
        <is>
          <t>초4-P1-A2</t>
        </is>
      </c>
      <c r="M6" s="5" t="inlineStr">
        <is>
          <t>비판적 판단 기준문항</t>
        </is>
      </c>
      <c r="N6" s="6" t="inlineStr">
        <is>
          <t>인터넷에서 '이걸 먹으면 하루 만에 키가 10cm 커진다'는 글을 봤다. 가장 알맞은 생각은?</t>
        </is>
      </c>
      <c r="O6" s="6" t="inlineStr">
        <is>
          <t>바로 믿지 말고 다른 정보도 찾아본다</t>
        </is>
      </c>
      <c r="P6" s="6" t="inlineStr">
        <is>
          <t>인터넷에 있으니 모두 사실이다</t>
        </is>
      </c>
      <c r="Q6" s="6" t="inlineStr">
        <is>
          <t>친구가 보내 줬으니 믿는다</t>
        </is>
      </c>
      <c r="R6" s="6" t="inlineStr">
        <is>
          <t>당장 따라 해 본다</t>
        </is>
      </c>
      <c r="S6" s="7" t="n">
        <v>1</v>
      </c>
      <c r="T6" s="6" t="inlineStr">
        <is>
          <t>바로 믿지 말고 다른 정보도 찾아본다</t>
        </is>
      </c>
      <c r="U6" s="7" t="inlineStr">
        <is>
          <t>정보 신뢰성 기초 판단</t>
        </is>
      </c>
      <c r="V6" s="6" t="inlineStr">
        <is>
          <t>초4 1번 문항풀의 정보 신뢰성 영역 진단 문항입니다. 학생이 온라인 정보의 출처와 신뢰도를 판단하는지를 확인하는 데 활용합니다.</t>
        </is>
      </c>
      <c r="W6" s="7" t="inlineStr">
        <is>
          <t>1-2-3-4-1-2-3-4-1-2</t>
        </is>
      </c>
    </row>
    <row r="7">
      <c r="A7" s="2" t="inlineStr">
        <is>
          <t>E4-P1-06</t>
        </is>
      </c>
      <c r="B7" s="2" t="inlineStr">
        <is>
          <t>초등</t>
        </is>
      </c>
      <c r="C7" s="2" t="inlineStr">
        <is>
          <t>초4</t>
        </is>
      </c>
      <c r="D7" s="2" t="n">
        <v>1</v>
      </c>
      <c r="E7" s="2" t="n">
        <v>1</v>
      </c>
      <c r="F7" s="3" t="inlineStr">
        <is>
          <t>1번 문항풀(디지털 기초소양)</t>
        </is>
      </c>
      <c r="G7" s="2" t="n">
        <v>6</v>
      </c>
      <c r="H7" s="2" t="inlineStr">
        <is>
          <t>INFO</t>
        </is>
      </c>
      <c r="I7" s="3" t="inlineStr">
        <is>
          <t>정보 신뢰성</t>
        </is>
      </c>
      <c r="J7" s="8" t="inlineStr">
        <is>
          <t>B</t>
        </is>
      </c>
      <c r="K7" s="2" t="inlineStr">
        <is>
          <t>N</t>
        </is>
      </c>
      <c r="L7" s="2" t="inlineStr"/>
      <c r="M7" s="2" t="inlineStr"/>
      <c r="N7" s="6" t="inlineStr">
        <is>
          <t>광고와 보통 정보를 구분하는 가장 좋은 방법은?</t>
        </is>
      </c>
      <c r="O7" s="6" t="inlineStr">
        <is>
          <t>제목이 크면 모두 광고다</t>
        </is>
      </c>
      <c r="P7" s="6" t="inlineStr">
        <is>
          <t>광고 표시나 제품 소개 문구가 있는지 본다</t>
        </is>
      </c>
      <c r="Q7" s="6" t="inlineStr">
        <is>
          <t>그림이 많으면 광고다</t>
        </is>
      </c>
      <c r="R7" s="6" t="inlineStr">
        <is>
          <t>친구가 좋아하면 광고가 아니다</t>
        </is>
      </c>
      <c r="S7" s="7" t="n">
        <v>2</v>
      </c>
      <c r="T7" s="6" t="inlineStr">
        <is>
          <t>광고 표시나 제품 소개 문구가 있는지 본다</t>
        </is>
      </c>
      <c r="U7" s="7" t="inlineStr">
        <is>
          <t>정보 신뢰성 기초 판단</t>
        </is>
      </c>
      <c r="V7" s="6" t="inlineStr">
        <is>
          <t>초4 1번 문항풀의 정보 신뢰성 영역 진단 문항입니다. 학생이 온라인 정보의 출처와 신뢰도를 판단하는지를 확인하는 데 활용합니다.</t>
        </is>
      </c>
      <c r="W7" s="7" t="inlineStr">
        <is>
          <t>1-2-3-4-1-2-3-4-1-2</t>
        </is>
      </c>
    </row>
    <row r="8">
      <c r="A8" s="2" t="inlineStr">
        <is>
          <t>E4-P1-07</t>
        </is>
      </c>
      <c r="B8" s="2" t="inlineStr">
        <is>
          <t>초등</t>
        </is>
      </c>
      <c r="C8" s="2" t="inlineStr">
        <is>
          <t>초4</t>
        </is>
      </c>
      <c r="D8" s="2" t="n">
        <v>1</v>
      </c>
      <c r="E8" s="2" t="n">
        <v>1</v>
      </c>
      <c r="F8" s="3" t="inlineStr">
        <is>
          <t>1번 문항풀(디지털 기초소양)</t>
        </is>
      </c>
      <c r="G8" s="2" t="n">
        <v>7</v>
      </c>
      <c r="H8" s="2" t="inlineStr">
        <is>
          <t>SAFE</t>
        </is>
      </c>
      <c r="I8" s="3" t="inlineStr">
        <is>
          <t>디지털 안전</t>
        </is>
      </c>
      <c r="J8" s="4" t="inlineStr">
        <is>
          <t>A</t>
        </is>
      </c>
      <c r="K8" s="2" t="inlineStr">
        <is>
          <t>N</t>
        </is>
      </c>
      <c r="L8" s="2" t="inlineStr"/>
      <c r="M8" s="2" t="inlineStr"/>
      <c r="N8" s="6" t="inlineStr">
        <is>
          <t>모르는 사람이 보낸 링크가 왔다. 가장 알맞은 행동은?</t>
        </is>
      </c>
      <c r="O8" s="6" t="inlineStr">
        <is>
          <t>궁금하니 바로 누른다</t>
        </is>
      </c>
      <c r="P8" s="6" t="inlineStr">
        <is>
          <t>친구에게 대신 눌러 보라고 한다</t>
        </is>
      </c>
      <c r="Q8" s="6" t="inlineStr">
        <is>
          <t>누르지 않고 믿을 만한 어른에게 알린다</t>
        </is>
      </c>
      <c r="R8" s="6" t="inlineStr">
        <is>
          <t>여러 번 눌러 본다</t>
        </is>
      </c>
      <c r="S8" s="7" t="n">
        <v>3</v>
      </c>
      <c r="T8" s="6" t="inlineStr">
        <is>
          <t>누르지 않고 믿을 만한 어른에게 알린다</t>
        </is>
      </c>
      <c r="U8" s="7" t="inlineStr">
        <is>
          <t>디지털 안전 기초 판단</t>
        </is>
      </c>
      <c r="V8" s="6" t="inlineStr">
        <is>
          <t>초4 1번 문항풀의 디지털 안전 영역 진단 문항입니다. 학생이 의심스러운 상황을 인식하고 안전하게 대처하는지를 확인하는 데 활용합니다.</t>
        </is>
      </c>
      <c r="W8" s="7" t="inlineStr">
        <is>
          <t>1-2-3-4-1-2-3-4-1-2</t>
        </is>
      </c>
    </row>
    <row r="9">
      <c r="A9" s="2" t="inlineStr">
        <is>
          <t>E4-P1-08</t>
        </is>
      </c>
      <c r="B9" s="2" t="inlineStr">
        <is>
          <t>초등</t>
        </is>
      </c>
      <c r="C9" s="2" t="inlineStr">
        <is>
          <t>초4</t>
        </is>
      </c>
      <c r="D9" s="2" t="n">
        <v>1</v>
      </c>
      <c r="E9" s="2" t="n">
        <v>1</v>
      </c>
      <c r="F9" s="3" t="inlineStr">
        <is>
          <t>1번 문항풀(디지털 기초소양)</t>
        </is>
      </c>
      <c r="G9" s="2" t="n">
        <v>8</v>
      </c>
      <c r="H9" s="2" t="inlineStr">
        <is>
          <t>SAFE</t>
        </is>
      </c>
      <c r="I9" s="3" t="inlineStr">
        <is>
          <t>디지털 안전</t>
        </is>
      </c>
      <c r="J9" s="4" t="inlineStr">
        <is>
          <t>A</t>
        </is>
      </c>
      <c r="K9" s="2" t="inlineStr">
        <is>
          <t>N</t>
        </is>
      </c>
      <c r="L9" s="2" t="inlineStr"/>
      <c r="M9" s="2" t="inlineStr"/>
      <c r="N9" s="6" t="inlineStr">
        <is>
          <t>이상한 메시지가 계속 오고 기분이 불편할 때 가장 먼저 할 일은?</t>
        </is>
      </c>
      <c r="O9" s="6" t="inlineStr">
        <is>
          <t>혼자 참는다</t>
        </is>
      </c>
      <c r="P9" s="6" t="inlineStr">
        <is>
          <t>같이 장난을 친다</t>
        </is>
      </c>
      <c r="Q9" s="6" t="inlineStr">
        <is>
          <t>답장을 계속 보낸다</t>
        </is>
      </c>
      <c r="R9" s="6" t="inlineStr">
        <is>
          <t>부모님이나 선생님께 바로 알린다</t>
        </is>
      </c>
      <c r="S9" s="7" t="n">
        <v>4</v>
      </c>
      <c r="T9" s="6" t="inlineStr">
        <is>
          <t>부모님이나 선생님께 바로 알린다</t>
        </is>
      </c>
      <c r="U9" s="7" t="inlineStr">
        <is>
          <t>디지털 안전 기초 판단</t>
        </is>
      </c>
      <c r="V9" s="6" t="inlineStr">
        <is>
          <t>초4 1번 문항풀의 디지털 안전 영역 진단 문항입니다. 학생이 의심스러운 상황을 인식하고 안전하게 대처하는지를 확인하는 데 활용합니다.</t>
        </is>
      </c>
      <c r="W9" s="7" t="inlineStr">
        <is>
          <t>1-2-3-4-1-2-3-4-1-2</t>
        </is>
      </c>
    </row>
    <row r="10">
      <c r="A10" s="2" t="inlineStr">
        <is>
          <t>E4-P1-09</t>
        </is>
      </c>
      <c r="B10" s="2" t="inlineStr">
        <is>
          <t>초등</t>
        </is>
      </c>
      <c r="C10" s="2" t="inlineStr">
        <is>
          <t>초4</t>
        </is>
      </c>
      <c r="D10" s="2" t="n">
        <v>1</v>
      </c>
      <c r="E10" s="2" t="n">
        <v>1</v>
      </c>
      <c r="F10" s="3" t="inlineStr">
        <is>
          <t>1번 문항풀(디지털 기초소양)</t>
        </is>
      </c>
      <c r="G10" s="2" t="n">
        <v>9</v>
      </c>
      <c r="H10" s="2" t="inlineStr">
        <is>
          <t>PHOTO</t>
        </is>
      </c>
      <c r="I10" s="3" t="inlineStr">
        <is>
          <t>사진·초상권</t>
        </is>
      </c>
      <c r="J10" s="8" t="inlineStr">
        <is>
          <t>B</t>
        </is>
      </c>
      <c r="K10" s="2" t="inlineStr">
        <is>
          <t>N</t>
        </is>
      </c>
      <c r="L10" s="2" t="inlineStr"/>
      <c r="M10" s="2" t="inlineStr"/>
      <c r="N10" s="6" t="inlineStr">
        <is>
          <t>친구와 찍은 사진을 올리고 싶을 때 바른 행동은?</t>
        </is>
      </c>
      <c r="O10" s="6" t="inlineStr">
        <is>
          <t>친구에게 먼저 올려도 되는지 묻는다</t>
        </is>
      </c>
      <c r="P10" s="6" t="inlineStr">
        <is>
          <t>친구 몰래 바로 올린다</t>
        </is>
      </c>
      <c r="Q10" s="6" t="inlineStr">
        <is>
          <t>재미있으면 허락 없이 올린다</t>
        </is>
      </c>
      <c r="R10" s="6" t="inlineStr">
        <is>
          <t>얼굴에 낙서를 해서 올린다</t>
        </is>
      </c>
      <c r="S10" s="7" t="n">
        <v>1</v>
      </c>
      <c r="T10" s="6" t="inlineStr">
        <is>
          <t>친구에게 먼저 올려도 되는지 묻는다</t>
        </is>
      </c>
      <c r="U10" s="7" t="inlineStr">
        <is>
          <t>사진·초상권 기초 판단</t>
        </is>
      </c>
      <c r="V10" s="6" t="inlineStr">
        <is>
          <t>초4 1번 문항풀의 사진·초상권 영역 진단 문항입니다. 학생이 사진·영상 공유 전 동의와 배려의 필요를 이해하는지를 확인하는 데 활용합니다.</t>
        </is>
      </c>
      <c r="W10" s="7" t="inlineStr">
        <is>
          <t>1-2-3-4-1-2-3-4-1-2</t>
        </is>
      </c>
    </row>
    <row r="11">
      <c r="A11" s="2" t="inlineStr">
        <is>
          <t>E4-P1-10</t>
        </is>
      </c>
      <c r="B11" s="2" t="inlineStr">
        <is>
          <t>초등</t>
        </is>
      </c>
      <c r="C11" s="2" t="inlineStr">
        <is>
          <t>초4</t>
        </is>
      </c>
      <c r="D11" s="2" t="n">
        <v>1</v>
      </c>
      <c r="E11" s="2" t="n">
        <v>1</v>
      </c>
      <c r="F11" s="3" t="inlineStr">
        <is>
          <t>1번 문항풀(디지털 기초소양)</t>
        </is>
      </c>
      <c r="G11" s="2" t="n">
        <v>10</v>
      </c>
      <c r="H11" s="2" t="inlineStr">
        <is>
          <t>USE</t>
        </is>
      </c>
      <c r="I11" s="3" t="inlineStr">
        <is>
          <t>기기 사용 습관</t>
        </is>
      </c>
      <c r="J11" s="8" t="inlineStr">
        <is>
          <t>B</t>
        </is>
      </c>
      <c r="K11" s="2" t="inlineStr">
        <is>
          <t>N</t>
        </is>
      </c>
      <c r="L11" s="2" t="inlineStr"/>
      <c r="M11" s="2" t="inlineStr"/>
      <c r="N11" s="6" t="inlineStr">
        <is>
          <t>수업 시간에 태블릿을 사용할 때 가장 좋은 행동은?</t>
        </is>
      </c>
      <c r="O11" s="6" t="inlineStr">
        <is>
          <t>게임 앱부터 연다</t>
        </is>
      </c>
      <c r="P11" s="6" t="inlineStr">
        <is>
          <t>선생님이 안내한 학습 화면을 연다</t>
        </is>
      </c>
      <c r="Q11" s="6" t="inlineStr">
        <is>
          <t>친구 사진을 몰래 찍는다</t>
        </is>
      </c>
      <c r="R11" s="6" t="inlineStr">
        <is>
          <t>마음대로 설정을 바꾼다</t>
        </is>
      </c>
      <c r="S11" s="7" t="n">
        <v>2</v>
      </c>
      <c r="T11" s="6" t="inlineStr">
        <is>
          <t>선생님이 안내한 학습 화면을 연다</t>
        </is>
      </c>
      <c r="U11" s="7" t="inlineStr">
        <is>
          <t>기기 사용 습관 기초 판단</t>
        </is>
      </c>
      <c r="V11" s="6" t="inlineStr">
        <is>
          <t>초4 1번 문항풀의 기기 사용 습관 영역 진단 문항입니다. 학생이 학습 상황에 맞게 기기를 사용하는지를 확인하는 데 활용합니다.</t>
        </is>
      </c>
      <c r="W11" s="7" t="inlineStr">
        <is>
          <t>1-2-3-4-1-2-3-4-1-2</t>
        </is>
      </c>
    </row>
    <row r="12">
      <c r="A12" s="9" t="inlineStr">
        <is>
          <t>E4-P2-01</t>
        </is>
      </c>
      <c r="B12" s="9" t="inlineStr">
        <is>
          <t>초등</t>
        </is>
      </c>
      <c r="C12" s="9" t="inlineStr">
        <is>
          <t>초4</t>
        </is>
      </c>
      <c r="D12" s="9" t="n">
        <v>2</v>
      </c>
      <c r="E12" s="9" t="n">
        <v>2</v>
      </c>
      <c r="F12" s="10" t="inlineStr">
        <is>
          <t>2번 문항풀(AI 활용 기초)</t>
        </is>
      </c>
      <c r="G12" s="9" t="n">
        <v>1</v>
      </c>
      <c r="H12" s="9" t="inlineStr">
        <is>
          <t>AIU</t>
        </is>
      </c>
      <c r="I12" s="10" t="inlineStr">
        <is>
          <t>AI 이해</t>
        </is>
      </c>
      <c r="J12" s="4" t="inlineStr">
        <is>
          <t>A</t>
        </is>
      </c>
      <c r="K12" s="5" t="inlineStr">
        <is>
          <t>Y</t>
        </is>
      </c>
      <c r="L12" s="5" t="inlineStr">
        <is>
          <t>초4-P2-A1</t>
        </is>
      </c>
      <c r="M12" s="5" t="inlineStr">
        <is>
          <t>기초 기준문항</t>
        </is>
      </c>
      <c r="N12" s="6" t="inlineStr">
        <is>
          <t>AI에 대한 설명으로 가장 알맞은 것은?</t>
        </is>
      </c>
      <c r="O12" s="6" t="inlineStr">
        <is>
          <t>항상 사람보다 똑똑하다</t>
        </is>
      </c>
      <c r="P12" s="6" t="inlineStr">
        <is>
          <t>아무 도움도 주지 못한다</t>
        </is>
      </c>
      <c r="Q12" s="6" t="inlineStr">
        <is>
          <t>사람을 도와주는 똑똑한 도구일 수 있다</t>
        </is>
      </c>
      <c r="R12" s="6" t="inlineStr">
        <is>
          <t>한 번도 틀리지 않는다</t>
        </is>
      </c>
      <c r="S12" s="7" t="n">
        <v>3</v>
      </c>
      <c r="T12" s="6" t="inlineStr">
        <is>
          <t>사람을 도와주는 똑똑한 도구일 수 있다</t>
        </is>
      </c>
      <c r="U12" s="7" t="inlineStr">
        <is>
          <t>AI 이해 기초 판단</t>
        </is>
      </c>
      <c r="V12" s="6" t="inlineStr">
        <is>
          <t>초4 2번 문항풀의 AI 이해 영역 진단 문항입니다. 학생이 AI의 기본 원리와 한계를 구분하는지를 확인하는 데 활용합니다.</t>
        </is>
      </c>
      <c r="W12" s="7" t="inlineStr">
        <is>
          <t>3-4-1-2-3-4-1-2-3-4</t>
        </is>
      </c>
    </row>
    <row r="13">
      <c r="A13" s="9" t="inlineStr">
        <is>
          <t>E4-P2-02</t>
        </is>
      </c>
      <c r="B13" s="9" t="inlineStr">
        <is>
          <t>초등</t>
        </is>
      </c>
      <c r="C13" s="9" t="inlineStr">
        <is>
          <t>초4</t>
        </is>
      </c>
      <c r="D13" s="9" t="n">
        <v>2</v>
      </c>
      <c r="E13" s="9" t="n">
        <v>2</v>
      </c>
      <c r="F13" s="10" t="inlineStr">
        <is>
          <t>2번 문항풀(AI 활용 기초)</t>
        </is>
      </c>
      <c r="G13" s="9" t="n">
        <v>2</v>
      </c>
      <c r="H13" s="9" t="inlineStr">
        <is>
          <t>AIU</t>
        </is>
      </c>
      <c r="I13" s="10" t="inlineStr">
        <is>
          <t>AI 이해</t>
        </is>
      </c>
      <c r="J13" s="4" t="inlineStr">
        <is>
          <t>A</t>
        </is>
      </c>
      <c r="K13" s="9" t="inlineStr">
        <is>
          <t>N</t>
        </is>
      </c>
      <c r="L13" s="9" t="inlineStr"/>
      <c r="M13" s="9" t="inlineStr"/>
      <c r="N13" s="6" t="inlineStr">
        <is>
          <t>AI가 알려 준 답에 대해 바른 생각은?</t>
        </is>
      </c>
      <c r="O13" s="6" t="inlineStr">
        <is>
          <t>항상 정답이니까 그대로 믿는다</t>
        </is>
      </c>
      <c r="P13" s="6" t="inlineStr">
        <is>
          <t>AI는 아무 말도 못 한다</t>
        </is>
      </c>
      <c r="Q13" s="6" t="inlineStr">
        <is>
          <t>AI가 한 말은 모두 장난이다</t>
        </is>
      </c>
      <c r="R13" s="6" t="inlineStr">
        <is>
          <t>틀릴 수 있으니 확인해 볼 수 있다</t>
        </is>
      </c>
      <c r="S13" s="7" t="n">
        <v>4</v>
      </c>
      <c r="T13" s="6" t="inlineStr">
        <is>
          <t>틀릴 수 있으니 확인해 볼 수 있다</t>
        </is>
      </c>
      <c r="U13" s="7" t="inlineStr">
        <is>
          <t>AI 이해 기초 판단</t>
        </is>
      </c>
      <c r="V13" s="6" t="inlineStr">
        <is>
          <t>초4 2번 문항풀의 AI 이해 영역 진단 문항입니다. 학생이 AI의 기본 원리와 한계를 구분하는지를 확인하는 데 활용합니다.</t>
        </is>
      </c>
      <c r="W13" s="7" t="inlineStr">
        <is>
          <t>3-4-1-2-3-4-1-2-3-4</t>
        </is>
      </c>
    </row>
    <row r="14">
      <c r="A14" s="9" t="inlineStr">
        <is>
          <t>E4-P2-03</t>
        </is>
      </c>
      <c r="B14" s="9" t="inlineStr">
        <is>
          <t>초등</t>
        </is>
      </c>
      <c r="C14" s="9" t="inlineStr">
        <is>
          <t>초4</t>
        </is>
      </c>
      <c r="D14" s="9" t="n">
        <v>2</v>
      </c>
      <c r="E14" s="9" t="n">
        <v>2</v>
      </c>
      <c r="F14" s="10" t="inlineStr">
        <is>
          <t>2번 문항풀(AI 활용 기초)</t>
        </is>
      </c>
      <c r="G14" s="9" t="n">
        <v>3</v>
      </c>
      <c r="H14" s="9" t="inlineStr">
        <is>
          <t>AIA</t>
        </is>
      </c>
      <c r="I14" s="10" t="inlineStr">
        <is>
          <t>AI 활용 태도</t>
        </is>
      </c>
      <c r="J14" s="8" t="inlineStr">
        <is>
          <t>B</t>
        </is>
      </c>
      <c r="K14" s="9" t="inlineStr">
        <is>
          <t>N</t>
        </is>
      </c>
      <c r="L14" s="9" t="inlineStr"/>
      <c r="M14" s="9" t="inlineStr"/>
      <c r="N14" s="6" t="inlineStr">
        <is>
          <t>AI 앱이 낸 답이 내가 배운 내용과 다를 때 가장 알맞은 행동은?</t>
        </is>
      </c>
      <c r="O14" s="6" t="inlineStr">
        <is>
          <t>선생님이나 자료를 통해 다시 확인한다</t>
        </is>
      </c>
      <c r="P14" s="6" t="inlineStr">
        <is>
          <t>무조건 AI 답을 따른다</t>
        </is>
      </c>
      <c r="Q14" s="6" t="inlineStr">
        <is>
          <t>바로 제출한다</t>
        </is>
      </c>
      <c r="R14" s="6" t="inlineStr">
        <is>
          <t>답이 다르면 앱을 꺼 버린다</t>
        </is>
      </c>
      <c r="S14" s="7" t="n">
        <v>1</v>
      </c>
      <c r="T14" s="6" t="inlineStr">
        <is>
          <t>선생님이나 자료를 통해 다시 확인한다</t>
        </is>
      </c>
      <c r="U14" s="7" t="inlineStr">
        <is>
          <t>AI 활용 태도 기초 판단</t>
        </is>
      </c>
      <c r="V14" s="6" t="inlineStr">
        <is>
          <t>초4 2번 문항풀의 AI 활용 태도 영역 진단 문항입니다. 학생이 AI를 무비판적으로 사용하지 않고 검토하려는지를 확인하는 데 활용합니다.</t>
        </is>
      </c>
      <c r="W14" s="7" t="inlineStr">
        <is>
          <t>3-4-1-2-3-4-1-2-3-4</t>
        </is>
      </c>
    </row>
    <row r="15">
      <c r="A15" s="9" t="inlineStr">
        <is>
          <t>E4-P2-04</t>
        </is>
      </c>
      <c r="B15" s="9" t="inlineStr">
        <is>
          <t>초등</t>
        </is>
      </c>
      <c r="C15" s="9" t="inlineStr">
        <is>
          <t>초4</t>
        </is>
      </c>
      <c r="D15" s="9" t="n">
        <v>2</v>
      </c>
      <c r="E15" s="9" t="n">
        <v>2</v>
      </c>
      <c r="F15" s="10" t="inlineStr">
        <is>
          <t>2번 문항풀(AI 활용 기초)</t>
        </is>
      </c>
      <c r="G15" s="9" t="n">
        <v>4</v>
      </c>
      <c r="H15" s="9" t="inlineStr">
        <is>
          <t>DPS</t>
        </is>
      </c>
      <c r="I15" s="10" t="inlineStr">
        <is>
          <t>문제해결</t>
        </is>
      </c>
      <c r="J15" s="8" t="inlineStr">
        <is>
          <t>B</t>
        </is>
      </c>
      <c r="K15" s="9" t="inlineStr">
        <is>
          <t>N</t>
        </is>
      </c>
      <c r="L15" s="9" t="inlineStr"/>
      <c r="M15" s="9" t="inlineStr"/>
      <c r="N15" s="6" t="inlineStr">
        <is>
          <t>수업 앱에서 버튼이 잘 안 눌릴 때 가장 먼저 해 볼 일은?</t>
        </is>
      </c>
      <c r="O15" s="6" t="inlineStr">
        <is>
          <t>기기를 던진다</t>
        </is>
      </c>
      <c r="P15" s="6" t="inlineStr">
        <is>
          <t>차근차근 다시 눌러 보거나 도움을 요청한다</t>
        </is>
      </c>
      <c r="Q15" s="6" t="inlineStr">
        <is>
          <t>아무것도 하지 않는다</t>
        </is>
      </c>
      <c r="R15" s="6" t="inlineStr">
        <is>
          <t>친구 탓을 한다</t>
        </is>
      </c>
      <c r="S15" s="7" t="n">
        <v>2</v>
      </c>
      <c r="T15" s="6" t="inlineStr">
        <is>
          <t>차근차근 다시 눌러 보거나 도움을 요청한다</t>
        </is>
      </c>
      <c r="U15" s="7" t="inlineStr">
        <is>
          <t>문제해결 기초 판단</t>
        </is>
      </c>
      <c r="V15" s="6" t="inlineStr">
        <is>
          <t>초4 2번 문항풀의 문제해결 영역 진단 문항입니다. 학생이 디지털 문제를 단계적으로 해결하려는지를 확인하는 데 활용합니다.</t>
        </is>
      </c>
      <c r="W15" s="7" t="inlineStr">
        <is>
          <t>3-4-1-2-3-4-1-2-3-4</t>
        </is>
      </c>
    </row>
    <row r="16">
      <c r="A16" s="9" t="inlineStr">
        <is>
          <t>E4-P2-05</t>
        </is>
      </c>
      <c r="B16" s="9" t="inlineStr">
        <is>
          <t>초등</t>
        </is>
      </c>
      <c r="C16" s="9" t="inlineStr">
        <is>
          <t>초4</t>
        </is>
      </c>
      <c r="D16" s="9" t="n">
        <v>2</v>
      </c>
      <c r="E16" s="9" t="n">
        <v>2</v>
      </c>
      <c r="F16" s="10" t="inlineStr">
        <is>
          <t>2번 문항풀(AI 활용 기초)</t>
        </is>
      </c>
      <c r="G16" s="9" t="n">
        <v>5</v>
      </c>
      <c r="H16" s="9" t="inlineStr">
        <is>
          <t>DATA</t>
        </is>
      </c>
      <c r="I16" s="10" t="inlineStr">
        <is>
          <t>데이터 이해</t>
        </is>
      </c>
      <c r="J16" s="8" t="inlineStr">
        <is>
          <t>B</t>
        </is>
      </c>
      <c r="K16" s="5" t="inlineStr">
        <is>
          <t>Y</t>
        </is>
      </c>
      <c r="L16" s="5" t="inlineStr">
        <is>
          <t>초4-P2-A2</t>
        </is>
      </c>
      <c r="M16" s="5" t="inlineStr">
        <is>
          <t>비판적 판단 기준문항</t>
        </is>
      </c>
      <c r="N16" s="6" t="inlineStr">
        <is>
          <t>AI가 그림을 알아보는 데 도움이 되는 것은?</t>
        </is>
      </c>
      <c r="O16" s="6" t="inlineStr">
        <is>
          <t>점심시간</t>
        </is>
      </c>
      <c r="P16" s="6" t="inlineStr">
        <is>
          <t>큰 소리</t>
        </is>
      </c>
      <c r="Q16" s="6" t="inlineStr">
        <is>
          <t>많은 그림 예시</t>
        </is>
      </c>
      <c r="R16" s="6" t="inlineStr">
        <is>
          <t>연필 색깔</t>
        </is>
      </c>
      <c r="S16" s="7" t="n">
        <v>3</v>
      </c>
      <c r="T16" s="6" t="inlineStr">
        <is>
          <t>많은 그림 예시</t>
        </is>
      </c>
      <c r="U16" s="7" t="inlineStr">
        <is>
          <t>데이터 이해 기초 판단</t>
        </is>
      </c>
      <c r="V16" s="6" t="inlineStr">
        <is>
          <t>초4 2번 문항풀의 데이터 이해 영역 진단 문항입니다. 학생이 데이터가 결과에 영향을 준다는 점을 이해하는지를 확인하는 데 활용합니다.</t>
        </is>
      </c>
      <c r="W16" s="7" t="inlineStr">
        <is>
          <t>3-4-1-2-3-4-1-2-3-4</t>
        </is>
      </c>
    </row>
    <row r="17">
      <c r="A17" s="9" t="inlineStr">
        <is>
          <t>E4-P2-06</t>
        </is>
      </c>
      <c r="B17" s="9" t="inlineStr">
        <is>
          <t>초등</t>
        </is>
      </c>
      <c r="C17" s="9" t="inlineStr">
        <is>
          <t>초4</t>
        </is>
      </c>
      <c r="D17" s="9" t="n">
        <v>2</v>
      </c>
      <c r="E17" s="9" t="n">
        <v>2</v>
      </c>
      <c r="F17" s="10" t="inlineStr">
        <is>
          <t>2번 문항풀(AI 활용 기초)</t>
        </is>
      </c>
      <c r="G17" s="9" t="n">
        <v>6</v>
      </c>
      <c r="H17" s="9" t="inlineStr">
        <is>
          <t>AIE</t>
        </is>
      </c>
      <c r="I17" s="10" t="inlineStr">
        <is>
          <t>책임 있는 활용</t>
        </is>
      </c>
      <c r="J17" s="8" t="inlineStr">
        <is>
          <t>B</t>
        </is>
      </c>
      <c r="K17" s="9" t="inlineStr">
        <is>
          <t>N</t>
        </is>
      </c>
      <c r="L17" s="9" t="inlineStr"/>
      <c r="M17" s="9" t="inlineStr"/>
      <c r="N17" s="6" t="inlineStr">
        <is>
          <t>AI로 친구 얼굴을 웃기게 바꾸어 놀리는 것은?</t>
        </is>
      </c>
      <c r="O17" s="6" t="inlineStr">
        <is>
          <t>재미있으니 괜찮다</t>
        </is>
      </c>
      <c r="P17" s="6" t="inlineStr">
        <is>
          <t>친한 친구면 괜찮다</t>
        </is>
      </c>
      <c r="Q17" s="6" t="inlineStr">
        <is>
          <t>몰래 하면 괜찮다</t>
        </is>
      </c>
      <c r="R17" s="6" t="inlineStr">
        <is>
          <t>친구를 불편하게 할 수 있어 하면 안 된다</t>
        </is>
      </c>
      <c r="S17" s="7" t="n">
        <v>4</v>
      </c>
      <c r="T17" s="6" t="inlineStr">
        <is>
          <t>친구를 불편하게 할 수 있어 하면 안 된다</t>
        </is>
      </c>
      <c r="U17" s="7" t="inlineStr">
        <is>
          <t>책임 있는 활용 기초 판단</t>
        </is>
      </c>
      <c r="V17" s="6" t="inlineStr">
        <is>
          <t>초4 2번 문항풀의 책임 있는 활용 영역 진단 문항입니다. 학생이 AI·디지털 도구를 타인에게 해를 주지 않게 사용하는지를 확인하는 데 활용합니다.</t>
        </is>
      </c>
      <c r="W17" s="7" t="inlineStr">
        <is>
          <t>3-4-1-2-3-4-1-2-3-4</t>
        </is>
      </c>
    </row>
    <row r="18">
      <c r="A18" s="9" t="inlineStr">
        <is>
          <t>E4-P2-07</t>
        </is>
      </c>
      <c r="B18" s="9" t="inlineStr">
        <is>
          <t>초등</t>
        </is>
      </c>
      <c r="C18" s="9" t="inlineStr">
        <is>
          <t>초4</t>
        </is>
      </c>
      <c r="D18" s="9" t="n">
        <v>2</v>
      </c>
      <c r="E18" s="9" t="n">
        <v>2</v>
      </c>
      <c r="F18" s="10" t="inlineStr">
        <is>
          <t>2번 문항풀(AI 활용 기초)</t>
        </is>
      </c>
      <c r="G18" s="9" t="n">
        <v>7</v>
      </c>
      <c r="H18" s="9" t="inlineStr">
        <is>
          <t>SELF</t>
        </is>
      </c>
      <c r="I18" s="10" t="inlineStr">
        <is>
          <t>자기주도성</t>
        </is>
      </c>
      <c r="J18" s="4" t="inlineStr">
        <is>
          <t>A</t>
        </is>
      </c>
      <c r="K18" s="9" t="inlineStr">
        <is>
          <t>N</t>
        </is>
      </c>
      <c r="L18" s="9" t="inlineStr"/>
      <c r="M18" s="9" t="inlineStr"/>
      <c r="N18" s="6" t="inlineStr">
        <is>
          <t>새로운 앱 기능을 배울 때 가장 좋은 태도는?</t>
        </is>
      </c>
      <c r="O18" s="6" t="inlineStr">
        <is>
          <t>설명을 보며 천천히 따라 해 본다</t>
        </is>
      </c>
      <c r="P18" s="6" t="inlineStr">
        <is>
          <t>처음부터 포기한다</t>
        </is>
      </c>
      <c r="Q18" s="6" t="inlineStr">
        <is>
          <t>친구만 하게 둔다</t>
        </is>
      </c>
      <c r="R18" s="6" t="inlineStr">
        <is>
          <t>아무렇게나 눌러 보고 끝낸다</t>
        </is>
      </c>
      <c r="S18" s="7" t="n">
        <v>1</v>
      </c>
      <c r="T18" s="6" t="inlineStr">
        <is>
          <t>설명을 보며 천천히 따라 해 본다</t>
        </is>
      </c>
      <c r="U18" s="7" t="inlineStr">
        <is>
          <t>자기주도성 기초 판단</t>
        </is>
      </c>
      <c r="V18" s="6" t="inlineStr">
        <is>
          <t>초4 2번 문항풀의 자기주도성 영역 진단 문항입니다. 학생이 새로운 디지털 도구를 스스로 시도하고 학습하려는지를 확인하는 데 활용합니다.</t>
        </is>
      </c>
      <c r="W18" s="7" t="inlineStr">
        <is>
          <t>3-4-1-2-3-4-1-2-3-4</t>
        </is>
      </c>
    </row>
    <row r="19">
      <c r="A19" s="9" t="inlineStr">
        <is>
          <t>E4-P2-08</t>
        </is>
      </c>
      <c r="B19" s="9" t="inlineStr">
        <is>
          <t>초등</t>
        </is>
      </c>
      <c r="C19" s="9" t="inlineStr">
        <is>
          <t>초4</t>
        </is>
      </c>
      <c r="D19" s="9" t="n">
        <v>2</v>
      </c>
      <c r="E19" s="9" t="n">
        <v>2</v>
      </c>
      <c r="F19" s="10" t="inlineStr">
        <is>
          <t>2번 문항풀(AI 활용 기초)</t>
        </is>
      </c>
      <c r="G19" s="9" t="n">
        <v>8</v>
      </c>
      <c r="H19" s="9" t="inlineStr">
        <is>
          <t>COL</t>
        </is>
      </c>
      <c r="I19" s="10" t="inlineStr">
        <is>
          <t>협업 태도</t>
        </is>
      </c>
      <c r="J19" s="4" t="inlineStr">
        <is>
          <t>A</t>
        </is>
      </c>
      <c r="K19" s="9" t="inlineStr">
        <is>
          <t>N</t>
        </is>
      </c>
      <c r="L19" s="9" t="inlineStr"/>
      <c r="M19" s="9" t="inlineStr"/>
      <c r="N19" s="6" t="inlineStr">
        <is>
          <t>친구와 태블릿 1대를 함께 써야 할 때 가장 바른 행동은?</t>
        </is>
      </c>
      <c r="O19" s="6" t="inlineStr">
        <is>
          <t>내가 계속 혼자 쓴다</t>
        </is>
      </c>
      <c r="P19" s="6" t="inlineStr">
        <is>
          <t>번갈아 사용하고 의견을 나눈다</t>
        </is>
      </c>
      <c r="Q19" s="6" t="inlineStr">
        <is>
          <t>친구가 못 쓰게 숨긴다</t>
        </is>
      </c>
      <c r="R19" s="6" t="inlineStr">
        <is>
          <t>마음대로 종료한다</t>
        </is>
      </c>
      <c r="S19" s="7" t="n">
        <v>2</v>
      </c>
      <c r="T19" s="6" t="inlineStr">
        <is>
          <t>번갈아 사용하고 의견을 나눈다</t>
        </is>
      </c>
      <c r="U19" s="7" t="inlineStr">
        <is>
          <t>협업 태도 기초 판단</t>
        </is>
      </c>
      <c r="V19" s="6" t="inlineStr">
        <is>
          <t>초4 2번 문항풀의 협업 태도 영역 진단 문항입니다. 학생이 디지털 환경에서 역할을 나누고 협력하는지를 확인하는 데 활용합니다.</t>
        </is>
      </c>
      <c r="W19" s="7" t="inlineStr">
        <is>
          <t>3-4-1-2-3-4-1-2-3-4</t>
        </is>
      </c>
    </row>
    <row r="20">
      <c r="A20" s="9" t="inlineStr">
        <is>
          <t>E4-P2-09</t>
        </is>
      </c>
      <c r="B20" s="9" t="inlineStr">
        <is>
          <t>초등</t>
        </is>
      </c>
      <c r="C20" s="9" t="inlineStr">
        <is>
          <t>초4</t>
        </is>
      </c>
      <c r="D20" s="9" t="n">
        <v>2</v>
      </c>
      <c r="E20" s="9" t="n">
        <v>2</v>
      </c>
      <c r="F20" s="10" t="inlineStr">
        <is>
          <t>2번 문항풀(AI 활용 기초)</t>
        </is>
      </c>
      <c r="G20" s="9" t="n">
        <v>9</v>
      </c>
      <c r="H20" s="9" t="inlineStr">
        <is>
          <t>AIC</t>
        </is>
      </c>
      <c r="I20" s="10" t="inlineStr">
        <is>
          <t>결과 검토</t>
        </is>
      </c>
      <c r="J20" s="8" t="inlineStr">
        <is>
          <t>B</t>
        </is>
      </c>
      <c r="K20" s="9" t="inlineStr">
        <is>
          <t>N</t>
        </is>
      </c>
      <c r="L20" s="9" t="inlineStr"/>
      <c r="M20" s="9" t="inlineStr"/>
      <c r="N20" s="6" t="inlineStr">
        <is>
          <t>앱 결과가 이상하게 나왔을 때 바른 행동은?</t>
        </is>
      </c>
      <c r="O20" s="6" t="inlineStr">
        <is>
          <t>바로 포기한다</t>
        </is>
      </c>
      <c r="P20" s="6" t="inlineStr">
        <is>
          <t>그대로 정답이라고 생각한다</t>
        </is>
      </c>
      <c r="Q20" s="6" t="inlineStr">
        <is>
          <t>왜 그랬는지 다시 확인해 본다</t>
        </is>
      </c>
      <c r="R20" s="6" t="inlineStr">
        <is>
          <t>친구 결과를 몰래 베낀다</t>
        </is>
      </c>
      <c r="S20" s="7" t="n">
        <v>3</v>
      </c>
      <c r="T20" s="6" t="inlineStr">
        <is>
          <t>왜 그랬는지 다시 확인해 본다</t>
        </is>
      </c>
      <c r="U20" s="7" t="inlineStr">
        <is>
          <t>결과 검토 기초 판단</t>
        </is>
      </c>
      <c r="V20" s="6" t="inlineStr">
        <is>
          <t>초4 2번 문항풀의 결과 검토 영역 진단 문항입니다. 학생이 AI·디지털 결과물을 근거 중심으로 다시 확인하는지를 확인하는 데 활용합니다.</t>
        </is>
      </c>
      <c r="W20" s="7" t="inlineStr">
        <is>
          <t>3-4-1-2-3-4-1-2-3-4</t>
        </is>
      </c>
    </row>
    <row r="21">
      <c r="A21" s="9" t="inlineStr">
        <is>
          <t>E4-P2-10</t>
        </is>
      </c>
      <c r="B21" s="9" t="inlineStr">
        <is>
          <t>초등</t>
        </is>
      </c>
      <c r="C21" s="9" t="inlineStr">
        <is>
          <t>초4</t>
        </is>
      </c>
      <c r="D21" s="9" t="n">
        <v>2</v>
      </c>
      <c r="E21" s="9" t="n">
        <v>2</v>
      </c>
      <c r="F21" s="10" t="inlineStr">
        <is>
          <t>2번 문항풀(AI 활용 기초)</t>
        </is>
      </c>
      <c r="G21" s="9" t="n">
        <v>10</v>
      </c>
      <c r="H21" s="9" t="inlineStr">
        <is>
          <t>CARE</t>
        </is>
      </c>
      <c r="I21" s="10" t="inlineStr">
        <is>
          <t>진로 인식</t>
        </is>
      </c>
      <c r="J21" s="4" t="inlineStr">
        <is>
          <t>A</t>
        </is>
      </c>
      <c r="K21" s="9" t="inlineStr">
        <is>
          <t>N</t>
        </is>
      </c>
      <c r="L21" s="9" t="inlineStr"/>
      <c r="M21" s="9" t="inlineStr"/>
      <c r="N21" s="6" t="inlineStr">
        <is>
          <t>AI와 코딩에 대한 설명으로 가장 알맞은 것은?</t>
        </is>
      </c>
      <c r="O21" s="6" t="inlineStr">
        <is>
          <t>오직 게임할 때만 쓴다</t>
        </is>
      </c>
      <c r="P21" s="6" t="inlineStr">
        <is>
          <t>학교와 상관없다</t>
        </is>
      </c>
      <c r="Q21" s="6" t="inlineStr">
        <is>
          <t>어른만 배울 수 있다</t>
        </is>
      </c>
      <c r="R21" s="6" t="inlineStr">
        <is>
          <t>여러 가지 일과 직업에서 쓰일 수 있다</t>
        </is>
      </c>
      <c r="S21" s="7" t="n">
        <v>4</v>
      </c>
      <c r="T21" s="6" t="inlineStr">
        <is>
          <t>여러 가지 일과 직업에서 쓰일 수 있다</t>
        </is>
      </c>
      <c r="U21" s="7" t="inlineStr">
        <is>
          <t>진로 인식 기초 판단</t>
        </is>
      </c>
      <c r="V21" s="6" t="inlineStr">
        <is>
          <t>초4 2번 문항풀의 진로 인식 영역 진단 문항입니다. 학생이 디지털 역량과 진로의 연결성을 인식하는지를 확인하는 데 활용합니다.</t>
        </is>
      </c>
      <c r="W21" s="7" t="inlineStr">
        <is>
          <t>3-4-1-2-3-4-1-2-3-4</t>
        </is>
      </c>
    </row>
    <row r="22">
      <c r="A22" s="2" t="inlineStr">
        <is>
          <t>E5-P1-01</t>
        </is>
      </c>
      <c r="B22" s="2" t="inlineStr">
        <is>
          <t>초등</t>
        </is>
      </c>
      <c r="C22" s="2" t="inlineStr">
        <is>
          <t>초5</t>
        </is>
      </c>
      <c r="D22" s="2" t="n">
        <v>1</v>
      </c>
      <c r="E22" s="2" t="n">
        <v>1</v>
      </c>
      <c r="F22" s="3" t="inlineStr">
        <is>
          <t>1번 문항풀(디지털 기초소양)</t>
        </is>
      </c>
      <c r="G22" s="2" t="n">
        <v>1</v>
      </c>
      <c r="H22" s="2" t="inlineStr">
        <is>
          <t>PRIV</t>
        </is>
      </c>
      <c r="I22" s="3" t="inlineStr">
        <is>
          <t>개인정보 보호</t>
        </is>
      </c>
      <c r="J22" s="4" t="inlineStr">
        <is>
          <t>A</t>
        </is>
      </c>
      <c r="K22" s="5" t="inlineStr">
        <is>
          <t>Y</t>
        </is>
      </c>
      <c r="L22" s="5" t="inlineStr">
        <is>
          <t>초5-P1-A1</t>
        </is>
      </c>
      <c r="M22" s="5" t="inlineStr">
        <is>
          <t>기초 기준문항</t>
        </is>
      </c>
      <c r="N22" s="6" t="inlineStr">
        <is>
          <t>앱에 가입할 때 꼭 필요하지 않은 개인정보까지 입력하라고 하면 어떻게 하는 것이 가장 알맞은가?</t>
        </is>
      </c>
      <c r="O22" s="6" t="inlineStr">
        <is>
          <t>모두 다 입력한다</t>
        </is>
      </c>
      <c r="P22" s="6" t="inlineStr">
        <is>
          <t>부모님이나 선생님과 확인하고 필요한 정보만 입력한다</t>
        </is>
      </c>
      <c r="Q22" s="6" t="inlineStr">
        <is>
          <t>친구 정보를 대신 넣는다</t>
        </is>
      </c>
      <c r="R22" s="6" t="inlineStr">
        <is>
          <t>아무 생각 없이 계속 누른다</t>
        </is>
      </c>
      <c r="S22" s="7" t="n">
        <v>2</v>
      </c>
      <c r="T22" s="6" t="inlineStr">
        <is>
          <t>부모님이나 선생님과 확인하고 필요한 정보만 입력한다</t>
        </is>
      </c>
      <c r="U22" s="7" t="inlineStr">
        <is>
          <t>개인정보 보호 기초 판단</t>
        </is>
      </c>
      <c r="V22" s="6" t="inlineStr">
        <is>
          <t>초5 1번 문항풀의 개인정보 보호 영역 진단 문항입니다. 학생이 개인정보 노출 위험을 인식하고 안전한 대응을 선택하는지를 확인하는 데 활용합니다.</t>
        </is>
      </c>
      <c r="W22" s="7" t="inlineStr">
        <is>
          <t>2-3-4-1-2-3-4-1-2-3</t>
        </is>
      </c>
    </row>
    <row r="23">
      <c r="A23" s="2" t="inlineStr">
        <is>
          <t>E5-P1-02</t>
        </is>
      </c>
      <c r="B23" s="2" t="inlineStr">
        <is>
          <t>초등</t>
        </is>
      </c>
      <c r="C23" s="2" t="inlineStr">
        <is>
          <t>초5</t>
        </is>
      </c>
      <c r="D23" s="2" t="n">
        <v>1</v>
      </c>
      <c r="E23" s="2" t="n">
        <v>1</v>
      </c>
      <c r="F23" s="3" t="inlineStr">
        <is>
          <t>1번 문항풀(디지털 기초소양)</t>
        </is>
      </c>
      <c r="G23" s="2" t="n">
        <v>2</v>
      </c>
      <c r="H23" s="2" t="inlineStr">
        <is>
          <t>SAFE_ACC</t>
        </is>
      </c>
      <c r="I23" s="3" t="inlineStr">
        <is>
          <t>계정 안전</t>
        </is>
      </c>
      <c r="J23" s="4" t="inlineStr">
        <is>
          <t>A</t>
        </is>
      </c>
      <c r="K23" s="2" t="inlineStr">
        <is>
          <t>N</t>
        </is>
      </c>
      <c r="L23" s="2" t="inlineStr"/>
      <c r="M23" s="2" t="inlineStr"/>
      <c r="N23" s="6" t="inlineStr">
        <is>
          <t>비밀번호를 만들 때 가장 좋은 방법은?</t>
        </is>
      </c>
      <c r="O23" s="6" t="inlineStr">
        <is>
          <t>내 이름만 넣는다</t>
        </is>
      </c>
      <c r="P23" s="6" t="inlineStr">
        <is>
          <t>1234처럼 쉬운 숫자만 쓴다</t>
        </is>
      </c>
      <c r="Q23" s="6" t="inlineStr">
        <is>
          <t>다른 사람이 추측하기 어렵게 만든다</t>
        </is>
      </c>
      <c r="R23" s="6" t="inlineStr">
        <is>
          <t>친구와 똑같이 만든다</t>
        </is>
      </c>
      <c r="S23" s="7" t="n">
        <v>3</v>
      </c>
      <c r="T23" s="6" t="inlineStr">
        <is>
          <t>다른 사람이 추측하기 어렵게 만든다</t>
        </is>
      </c>
      <c r="U23" s="7" t="inlineStr">
        <is>
          <t>계정 안전 기초 판단</t>
        </is>
      </c>
      <c r="V23" s="6" t="inlineStr">
        <is>
          <t>초5 1번 문항풀의 계정 안전 영역 진단 문항입니다. 학생이 계정 보안의 기본 원칙을 이해하고 실천하려는지를 확인하는 데 활용합니다.</t>
        </is>
      </c>
      <c r="W23" s="7" t="inlineStr">
        <is>
          <t>2-3-4-1-2-3-4-1-2-3</t>
        </is>
      </c>
    </row>
    <row r="24">
      <c r="A24" s="2" t="inlineStr">
        <is>
          <t>E5-P1-03</t>
        </is>
      </c>
      <c r="B24" s="2" t="inlineStr">
        <is>
          <t>초등</t>
        </is>
      </c>
      <c r="C24" s="2" t="inlineStr">
        <is>
          <t>초5</t>
        </is>
      </c>
      <c r="D24" s="2" t="n">
        <v>1</v>
      </c>
      <c r="E24" s="2" t="n">
        <v>1</v>
      </c>
      <c r="F24" s="3" t="inlineStr">
        <is>
          <t>1번 문항풀(디지털 기초소양)</t>
        </is>
      </c>
      <c r="G24" s="2" t="n">
        <v>3</v>
      </c>
      <c r="H24" s="2" t="inlineStr">
        <is>
          <t>NET_ETI</t>
        </is>
      </c>
      <c r="I24" s="3" t="inlineStr">
        <is>
          <t>디지털 예절</t>
        </is>
      </c>
      <c r="J24" s="4" t="inlineStr">
        <is>
          <t>A</t>
        </is>
      </c>
      <c r="K24" s="2" t="inlineStr">
        <is>
          <t>N</t>
        </is>
      </c>
      <c r="L24" s="2" t="inlineStr"/>
      <c r="M24" s="2" t="inlineStr"/>
      <c r="N24" s="6" t="inlineStr">
        <is>
          <t>채팅방에서 누군가를 놀리는 말이 올라올 때 가장 바른 행동은?</t>
        </is>
      </c>
      <c r="O24" s="6" t="inlineStr">
        <is>
          <t>재미있으니 같이 놀린다</t>
        </is>
      </c>
      <c r="P24" s="6" t="inlineStr">
        <is>
          <t>캡처해서 다른 친구에게 보낸다</t>
        </is>
      </c>
      <c r="Q24" s="6" t="inlineStr">
        <is>
          <t>더 센 말을 보낸다</t>
        </is>
      </c>
      <c r="R24" s="6" t="inlineStr">
        <is>
          <t>놀림에 참여하지 않고 멈추도록 말한다</t>
        </is>
      </c>
      <c r="S24" s="7" t="n">
        <v>4</v>
      </c>
      <c r="T24" s="6" t="inlineStr">
        <is>
          <t>놀림에 참여하지 않고 멈추도록 말한다</t>
        </is>
      </c>
      <c r="U24" s="7" t="inlineStr">
        <is>
          <t>디지털 예절 기초 판단</t>
        </is>
      </c>
      <c r="V24" s="6" t="inlineStr">
        <is>
          <t>초5 1번 문항풀의 디지털 예절 영역 진단 문항입니다. 학생이 온라인 의사소통에서 기본 예절을 지키는지를 확인하는 데 활용합니다.</t>
        </is>
      </c>
      <c r="W24" s="7" t="inlineStr">
        <is>
          <t>2-3-4-1-2-3-4-1-2-3</t>
        </is>
      </c>
    </row>
    <row r="25">
      <c r="A25" s="2" t="inlineStr">
        <is>
          <t>E5-P1-04</t>
        </is>
      </c>
      <c r="B25" s="2" t="inlineStr">
        <is>
          <t>초등</t>
        </is>
      </c>
      <c r="C25" s="2" t="inlineStr">
        <is>
          <t>초5</t>
        </is>
      </c>
      <c r="D25" s="2" t="n">
        <v>1</v>
      </c>
      <c r="E25" s="2" t="n">
        <v>1</v>
      </c>
      <c r="F25" s="3" t="inlineStr">
        <is>
          <t>1번 문항풀(디지털 기초소양)</t>
        </is>
      </c>
      <c r="G25" s="2" t="n">
        <v>4</v>
      </c>
      <c r="H25" s="2" t="inlineStr">
        <is>
          <t>PHOTO</t>
        </is>
      </c>
      <c r="I25" s="3" t="inlineStr">
        <is>
          <t>사진·초상권</t>
        </is>
      </c>
      <c r="J25" s="8" t="inlineStr">
        <is>
          <t>B</t>
        </is>
      </c>
      <c r="K25" s="2" t="inlineStr">
        <is>
          <t>N</t>
        </is>
      </c>
      <c r="L25" s="2" t="inlineStr"/>
      <c r="M25" s="2" t="inlineStr"/>
      <c r="N25" s="6" t="inlineStr">
        <is>
          <t>친구가 나온 영상을 공유하기 전에 해야 할 일은?</t>
        </is>
      </c>
      <c r="O25" s="6" t="inlineStr">
        <is>
          <t>친구의 허락을 먼저 구한다</t>
        </is>
      </c>
      <c r="P25" s="6" t="inlineStr">
        <is>
          <t>재미있으면 바로 올린다</t>
        </is>
      </c>
      <c r="Q25" s="6" t="inlineStr">
        <is>
          <t>조회 수가 많을 것 같으면 올린다</t>
        </is>
      </c>
      <c r="R25" s="6" t="inlineStr">
        <is>
          <t>친구 이름만 가리면 된다</t>
        </is>
      </c>
      <c r="S25" s="7" t="n">
        <v>1</v>
      </c>
      <c r="T25" s="6" t="inlineStr">
        <is>
          <t>친구의 허락을 먼저 구한다</t>
        </is>
      </c>
      <c r="U25" s="7" t="inlineStr">
        <is>
          <t>사진·초상권 기초 판단</t>
        </is>
      </c>
      <c r="V25" s="6" t="inlineStr">
        <is>
          <t>초5 1번 문항풀의 사진·초상권 영역 진단 문항입니다. 학생이 사진·영상 공유 전 동의와 배려의 필요를 이해하는지를 확인하는 데 활용합니다.</t>
        </is>
      </c>
      <c r="W25" s="7" t="inlineStr">
        <is>
          <t>2-3-4-1-2-3-4-1-2-3</t>
        </is>
      </c>
    </row>
    <row r="26">
      <c r="A26" s="2" t="inlineStr">
        <is>
          <t>E5-P1-05</t>
        </is>
      </c>
      <c r="B26" s="2" t="inlineStr">
        <is>
          <t>초등</t>
        </is>
      </c>
      <c r="C26" s="2" t="inlineStr">
        <is>
          <t>초5</t>
        </is>
      </c>
      <c r="D26" s="2" t="n">
        <v>1</v>
      </c>
      <c r="E26" s="2" t="n">
        <v>1</v>
      </c>
      <c r="F26" s="3" t="inlineStr">
        <is>
          <t>1번 문항풀(디지털 기초소양)</t>
        </is>
      </c>
      <c r="G26" s="2" t="n">
        <v>5</v>
      </c>
      <c r="H26" s="2" t="inlineStr">
        <is>
          <t>INFO</t>
        </is>
      </c>
      <c r="I26" s="3" t="inlineStr">
        <is>
          <t>정보 신뢰성</t>
        </is>
      </c>
      <c r="J26" s="8" t="inlineStr">
        <is>
          <t>B</t>
        </is>
      </c>
      <c r="K26" s="5" t="inlineStr">
        <is>
          <t>Y</t>
        </is>
      </c>
      <c r="L26" s="5" t="inlineStr">
        <is>
          <t>초5-P1-A2</t>
        </is>
      </c>
      <c r="M26" s="5" t="inlineStr">
        <is>
          <t>비판적 판단 기준문항</t>
        </is>
      </c>
      <c r="N26" s="6" t="inlineStr">
        <is>
          <t>검색 결과 맨 위에 나온 글을 볼 때 바른 생각은?</t>
        </is>
      </c>
      <c r="O26" s="6" t="inlineStr">
        <is>
          <t>첫 번째니까 무조건 맞다</t>
        </is>
      </c>
      <c r="P26" s="6" t="inlineStr">
        <is>
          <t>광고일 수도 있으니 내용을 살펴본다</t>
        </is>
      </c>
      <c r="Q26" s="6" t="inlineStr">
        <is>
          <t>친구가 봤으면 맞다</t>
        </is>
      </c>
      <c r="R26" s="6" t="inlineStr">
        <is>
          <t>그림이 예쁘면 맞다</t>
        </is>
      </c>
      <c r="S26" s="7" t="n">
        <v>2</v>
      </c>
      <c r="T26" s="6" t="inlineStr">
        <is>
          <t>광고일 수도 있으니 내용을 살펴본다</t>
        </is>
      </c>
      <c r="U26" s="7" t="inlineStr">
        <is>
          <t>정보 신뢰성 기초 판단</t>
        </is>
      </c>
      <c r="V26" s="6" t="inlineStr">
        <is>
          <t>초5 1번 문항풀의 정보 신뢰성 영역 진단 문항입니다. 학생이 온라인 정보의 출처와 신뢰도를 판단하는지를 확인하는 데 활용합니다.</t>
        </is>
      </c>
      <c r="W26" s="7" t="inlineStr">
        <is>
          <t>2-3-4-1-2-3-4-1-2-3</t>
        </is>
      </c>
    </row>
    <row r="27">
      <c r="A27" s="2" t="inlineStr">
        <is>
          <t>E5-P1-06</t>
        </is>
      </c>
      <c r="B27" s="2" t="inlineStr">
        <is>
          <t>초등</t>
        </is>
      </c>
      <c r="C27" s="2" t="inlineStr">
        <is>
          <t>초5</t>
        </is>
      </c>
      <c r="D27" s="2" t="n">
        <v>1</v>
      </c>
      <c r="E27" s="2" t="n">
        <v>1</v>
      </c>
      <c r="F27" s="3" t="inlineStr">
        <is>
          <t>1번 문항풀(디지털 기초소양)</t>
        </is>
      </c>
      <c r="G27" s="2" t="n">
        <v>6</v>
      </c>
      <c r="H27" s="2" t="inlineStr">
        <is>
          <t>INFO</t>
        </is>
      </c>
      <c r="I27" s="3" t="inlineStr">
        <is>
          <t>정보 신뢰성</t>
        </is>
      </c>
      <c r="J27" s="8" t="inlineStr">
        <is>
          <t>B</t>
        </is>
      </c>
      <c r="K27" s="2" t="inlineStr">
        <is>
          <t>N</t>
        </is>
      </c>
      <c r="L27" s="2" t="inlineStr"/>
      <c r="M27" s="2" t="inlineStr"/>
      <c r="N27" s="6" t="inlineStr">
        <is>
          <t>인터넷 정보를 믿기 전에 가장 좋은 행동은?</t>
        </is>
      </c>
      <c r="O27" s="6" t="inlineStr">
        <is>
          <t>한 곳만 보고 바로 믿는다</t>
        </is>
      </c>
      <c r="P27" s="6" t="inlineStr">
        <is>
          <t>제목만 읽고 끝낸다</t>
        </is>
      </c>
      <c r="Q27" s="6" t="inlineStr">
        <is>
          <t>두 곳 이상에서 비슷한 내용인지 확인한다</t>
        </is>
      </c>
      <c r="R27" s="6" t="inlineStr">
        <is>
          <t>댓글이 많으면 맞다고 생각한다</t>
        </is>
      </c>
      <c r="S27" s="7" t="n">
        <v>3</v>
      </c>
      <c r="T27" s="6" t="inlineStr">
        <is>
          <t>두 곳 이상에서 비슷한 내용인지 확인한다</t>
        </is>
      </c>
      <c r="U27" s="7" t="inlineStr">
        <is>
          <t>정보 신뢰성 기초 판단</t>
        </is>
      </c>
      <c r="V27" s="6" t="inlineStr">
        <is>
          <t>초5 1번 문항풀의 정보 신뢰성 영역 진단 문항입니다. 학생이 온라인 정보의 출처와 신뢰도를 판단하는지를 확인하는 데 활용합니다.</t>
        </is>
      </c>
      <c r="W27" s="7" t="inlineStr">
        <is>
          <t>2-3-4-1-2-3-4-1-2-3</t>
        </is>
      </c>
    </row>
    <row r="28">
      <c r="A28" s="2" t="inlineStr">
        <is>
          <t>E5-P1-07</t>
        </is>
      </c>
      <c r="B28" s="2" t="inlineStr">
        <is>
          <t>초등</t>
        </is>
      </c>
      <c r="C28" s="2" t="inlineStr">
        <is>
          <t>초5</t>
        </is>
      </c>
      <c r="D28" s="2" t="n">
        <v>1</v>
      </c>
      <c r="E28" s="2" t="n">
        <v>1</v>
      </c>
      <c r="F28" s="3" t="inlineStr">
        <is>
          <t>1번 문항풀(디지털 기초소양)</t>
        </is>
      </c>
      <c r="G28" s="2" t="n">
        <v>7</v>
      </c>
      <c r="H28" s="2" t="inlineStr">
        <is>
          <t>SAFE</t>
        </is>
      </c>
      <c r="I28" s="3" t="inlineStr">
        <is>
          <t>디지털 안전</t>
        </is>
      </c>
      <c r="J28" s="4" t="inlineStr">
        <is>
          <t>A</t>
        </is>
      </c>
      <c r="K28" s="2" t="inlineStr">
        <is>
          <t>N</t>
        </is>
      </c>
      <c r="L28" s="2" t="inlineStr"/>
      <c r="M28" s="2" t="inlineStr"/>
      <c r="N28" s="6" t="inlineStr">
        <is>
          <t>모르는 사람이 보낸 파일이 있을 때 가장 알맞은 행동은?</t>
        </is>
      </c>
      <c r="O28" s="6" t="inlineStr">
        <is>
          <t>궁금하니 연다</t>
        </is>
      </c>
      <c r="P28" s="6" t="inlineStr">
        <is>
          <t>친구에게 먼저 열어 보게 한다</t>
        </is>
      </c>
      <c r="Q28" s="6" t="inlineStr">
        <is>
          <t>계속 보관한다</t>
        </is>
      </c>
      <c r="R28" s="6" t="inlineStr">
        <is>
          <t>열지 말고 삭제하거나 어른에게 알린다</t>
        </is>
      </c>
      <c r="S28" s="7" t="n">
        <v>4</v>
      </c>
      <c r="T28" s="6" t="inlineStr">
        <is>
          <t>열지 말고 삭제하거나 어른에게 알린다</t>
        </is>
      </c>
      <c r="U28" s="7" t="inlineStr">
        <is>
          <t>디지털 안전 기초 판단</t>
        </is>
      </c>
      <c r="V28" s="6" t="inlineStr">
        <is>
          <t>초5 1번 문항풀의 디지털 안전 영역 진단 문항입니다. 학생이 의심스러운 상황을 인식하고 안전하게 대처하는지를 확인하는 데 활용합니다.</t>
        </is>
      </c>
      <c r="W28" s="7" t="inlineStr">
        <is>
          <t>2-3-4-1-2-3-4-1-2-3</t>
        </is>
      </c>
    </row>
    <row r="29">
      <c r="A29" s="2" t="inlineStr">
        <is>
          <t>E5-P1-08</t>
        </is>
      </c>
      <c r="B29" s="2" t="inlineStr">
        <is>
          <t>초등</t>
        </is>
      </c>
      <c r="C29" s="2" t="inlineStr">
        <is>
          <t>초5</t>
        </is>
      </c>
      <c r="D29" s="2" t="n">
        <v>1</v>
      </c>
      <c r="E29" s="2" t="n">
        <v>1</v>
      </c>
      <c r="F29" s="3" t="inlineStr">
        <is>
          <t>1번 문항풀(디지털 기초소양)</t>
        </is>
      </c>
      <c r="G29" s="2" t="n">
        <v>8</v>
      </c>
      <c r="H29" s="2" t="inlineStr">
        <is>
          <t>SAFE</t>
        </is>
      </c>
      <c r="I29" s="3" t="inlineStr">
        <is>
          <t>디지털 안전</t>
        </is>
      </c>
      <c r="J29" s="4" t="inlineStr">
        <is>
          <t>A</t>
        </is>
      </c>
      <c r="K29" s="2" t="inlineStr">
        <is>
          <t>N</t>
        </is>
      </c>
      <c r="L29" s="2" t="inlineStr"/>
      <c r="M29" s="2" t="inlineStr"/>
      <c r="N29" s="6" t="inlineStr">
        <is>
          <t>'상품을 주겠다'며 개인정보를 보내 달라는 메시지를 받았다. 가장 알맞은 행동은?</t>
        </is>
      </c>
      <c r="O29" s="6" t="inlineStr">
        <is>
          <t>보내지 않고 믿을 만한 어른과 상의한다</t>
        </is>
      </c>
      <c r="P29" s="6" t="inlineStr">
        <is>
          <t>바로 보낸다</t>
        </is>
      </c>
      <c r="Q29" s="6" t="inlineStr">
        <is>
          <t>사진도 함께 보낸다</t>
        </is>
      </c>
      <c r="R29" s="6" t="inlineStr">
        <is>
          <t>친구 개인정보를 보낸다</t>
        </is>
      </c>
      <c r="S29" s="7" t="n">
        <v>1</v>
      </c>
      <c r="T29" s="6" t="inlineStr">
        <is>
          <t>보내지 않고 믿을 만한 어른과 상의한다</t>
        </is>
      </c>
      <c r="U29" s="7" t="inlineStr">
        <is>
          <t>디지털 안전 기초 판단</t>
        </is>
      </c>
      <c r="V29" s="6" t="inlineStr">
        <is>
          <t>초5 1번 문항풀의 디지털 안전 영역 진단 문항입니다. 학생이 의심스러운 상황을 인식하고 안전하게 대처하는지를 확인하는 데 활용합니다.</t>
        </is>
      </c>
      <c r="W29" s="7" t="inlineStr">
        <is>
          <t>2-3-4-1-2-3-4-1-2-3</t>
        </is>
      </c>
    </row>
    <row r="30">
      <c r="A30" s="2" t="inlineStr">
        <is>
          <t>E5-P1-09</t>
        </is>
      </c>
      <c r="B30" s="2" t="inlineStr">
        <is>
          <t>초등</t>
        </is>
      </c>
      <c r="C30" s="2" t="inlineStr">
        <is>
          <t>초5</t>
        </is>
      </c>
      <c r="D30" s="2" t="n">
        <v>1</v>
      </c>
      <c r="E30" s="2" t="n">
        <v>1</v>
      </c>
      <c r="F30" s="3" t="inlineStr">
        <is>
          <t>1번 문항풀(디지털 기초소양)</t>
        </is>
      </c>
      <c r="G30" s="2" t="n">
        <v>9</v>
      </c>
      <c r="H30" s="2" t="inlineStr">
        <is>
          <t>USE</t>
        </is>
      </c>
      <c r="I30" s="3" t="inlineStr">
        <is>
          <t>기기 사용 습관</t>
        </is>
      </c>
      <c r="J30" s="8" t="inlineStr">
        <is>
          <t>B</t>
        </is>
      </c>
      <c r="K30" s="2" t="inlineStr">
        <is>
          <t>N</t>
        </is>
      </c>
      <c r="L30" s="2" t="inlineStr"/>
      <c r="M30" s="2" t="inlineStr"/>
      <c r="N30" s="6" t="inlineStr">
        <is>
          <t>수업 시간에 학습 앱을 사용해야 할 때 가장 바른 행동은?</t>
        </is>
      </c>
      <c r="O30" s="6" t="inlineStr">
        <is>
          <t>게임 앱을 같이 켠다</t>
        </is>
      </c>
      <c r="P30" s="6" t="inlineStr">
        <is>
          <t>학습 앱에 집중하고 필요한 기능만 사용한다</t>
        </is>
      </c>
      <c r="Q30" s="6" t="inlineStr">
        <is>
          <t>수업과 관계없는 영상을 본다</t>
        </is>
      </c>
      <c r="R30" s="6" t="inlineStr">
        <is>
          <t>친구 기기를 계속 본다</t>
        </is>
      </c>
      <c r="S30" s="7" t="n">
        <v>2</v>
      </c>
      <c r="T30" s="6" t="inlineStr">
        <is>
          <t>학습 앱에 집중하고 필요한 기능만 사용한다</t>
        </is>
      </c>
      <c r="U30" s="7" t="inlineStr">
        <is>
          <t>기기 사용 습관 기초 판단</t>
        </is>
      </c>
      <c r="V30" s="6" t="inlineStr">
        <is>
          <t>초5 1번 문항풀의 기기 사용 습관 영역 진단 문항입니다. 학생이 학습 상황에 맞게 기기를 사용하는지를 확인하는 데 활용합니다.</t>
        </is>
      </c>
      <c r="W30" s="7" t="inlineStr">
        <is>
          <t>2-3-4-1-2-3-4-1-2-3</t>
        </is>
      </c>
    </row>
    <row r="31">
      <c r="A31" s="2" t="inlineStr">
        <is>
          <t>E5-P1-10</t>
        </is>
      </c>
      <c r="B31" s="2" t="inlineStr">
        <is>
          <t>초등</t>
        </is>
      </c>
      <c r="C31" s="2" t="inlineStr">
        <is>
          <t>초5</t>
        </is>
      </c>
      <c r="D31" s="2" t="n">
        <v>1</v>
      </c>
      <c r="E31" s="2" t="n">
        <v>1</v>
      </c>
      <c r="F31" s="3" t="inlineStr">
        <is>
          <t>1번 문항풀(디지털 기초소양)</t>
        </is>
      </c>
      <c r="G31" s="2" t="n">
        <v>10</v>
      </c>
      <c r="H31" s="2" t="inlineStr">
        <is>
          <t>RESP</t>
        </is>
      </c>
      <c r="I31" s="3" t="inlineStr">
        <is>
          <t>책임감</t>
        </is>
      </c>
      <c r="J31" s="8" t="inlineStr">
        <is>
          <t>B</t>
        </is>
      </c>
      <c r="K31" s="2" t="inlineStr">
        <is>
          <t>N</t>
        </is>
      </c>
      <c r="L31" s="2" t="inlineStr"/>
      <c r="M31" s="2" t="inlineStr"/>
      <c r="N31" s="6" t="inlineStr">
        <is>
          <t>온라인에서도 학교 규칙처럼 지켜야 하는 것은?</t>
        </is>
      </c>
      <c r="O31" s="6" t="inlineStr">
        <is>
          <t>재미있으면 무엇이든 가능하다</t>
        </is>
      </c>
      <c r="P31" s="6" t="inlineStr">
        <is>
          <t>내가 안 들키면 괜찮다</t>
        </is>
      </c>
      <c r="Q31" s="6" t="inlineStr">
        <is>
          <t>사람을 존중하고 규칙을 지키는 태도</t>
        </is>
      </c>
      <c r="R31" s="6" t="inlineStr">
        <is>
          <t>친구가 하자면 따라 하는 것</t>
        </is>
      </c>
      <c r="S31" s="7" t="n">
        <v>3</v>
      </c>
      <c r="T31" s="6" t="inlineStr">
        <is>
          <t>사람을 존중하고 규칙을 지키는 태도</t>
        </is>
      </c>
      <c r="U31" s="7" t="inlineStr">
        <is>
          <t>책임감 기초 판단</t>
        </is>
      </c>
      <c r="V31" s="6" t="inlineStr">
        <is>
          <t>초5 1번 문항풀의 책임감 영역 진단 문항입니다. 학생이 학교·공동 환경에서 디지털 규칙을 지키는지를 확인하는 데 활용합니다.</t>
        </is>
      </c>
      <c r="W31" s="7" t="inlineStr">
        <is>
          <t>2-3-4-1-2-3-4-1-2-3</t>
        </is>
      </c>
    </row>
    <row r="32">
      <c r="A32" s="9" t="inlineStr">
        <is>
          <t>E5-P2-01</t>
        </is>
      </c>
      <c r="B32" s="9" t="inlineStr">
        <is>
          <t>초등</t>
        </is>
      </c>
      <c r="C32" s="9" t="inlineStr">
        <is>
          <t>초5</t>
        </is>
      </c>
      <c r="D32" s="9" t="n">
        <v>2</v>
      </c>
      <c r="E32" s="9" t="n">
        <v>2</v>
      </c>
      <c r="F32" s="10" t="inlineStr">
        <is>
          <t>2번 문항풀(AI 활용 기초)</t>
        </is>
      </c>
      <c r="G32" s="9" t="n">
        <v>1</v>
      </c>
      <c r="H32" s="9" t="inlineStr">
        <is>
          <t>AIU</t>
        </is>
      </c>
      <c r="I32" s="10" t="inlineStr">
        <is>
          <t>AI 이해</t>
        </is>
      </c>
      <c r="J32" s="4" t="inlineStr">
        <is>
          <t>A</t>
        </is>
      </c>
      <c r="K32" s="5" t="inlineStr">
        <is>
          <t>Y</t>
        </is>
      </c>
      <c r="L32" s="5" t="inlineStr">
        <is>
          <t>초5-P2-A1</t>
        </is>
      </c>
      <c r="M32" s="5" t="inlineStr">
        <is>
          <t>기초 기준문항</t>
        </is>
      </c>
      <c r="N32" s="6" t="inlineStr">
        <is>
          <t>AI에 대한 설명으로 가장 알맞은 것은?</t>
        </is>
      </c>
      <c r="O32" s="6" t="inlineStr">
        <is>
          <t>절대 실수하지 않는다</t>
        </is>
      </c>
      <c r="P32" s="6" t="inlineStr">
        <is>
          <t>사람 감정을 모두 안다</t>
        </is>
      </c>
      <c r="Q32" s="6" t="inlineStr">
        <is>
          <t>인터넷 없이도 모든 것을 안다</t>
        </is>
      </c>
      <c r="R32" s="6" t="inlineStr">
        <is>
          <t>사진이나 소리 같은 자료를 보고 배우기도 한다</t>
        </is>
      </c>
      <c r="S32" s="7" t="n">
        <v>4</v>
      </c>
      <c r="T32" s="6" t="inlineStr">
        <is>
          <t>사진이나 소리 같은 자료를 보고 배우기도 한다</t>
        </is>
      </c>
      <c r="U32" s="7" t="inlineStr">
        <is>
          <t>AI 이해 기초 판단</t>
        </is>
      </c>
      <c r="V32" s="6" t="inlineStr">
        <is>
          <t>초5 2번 문항풀의 AI 이해 영역 진단 문항입니다. 학생이 AI의 기본 원리와 한계를 구분하는지를 확인하는 데 활용합니다.</t>
        </is>
      </c>
      <c r="W32" s="7" t="inlineStr">
        <is>
          <t>4-1-2-3-4-1-2-3-4-1</t>
        </is>
      </c>
    </row>
    <row r="33">
      <c r="A33" s="9" t="inlineStr">
        <is>
          <t>E5-P2-02</t>
        </is>
      </c>
      <c r="B33" s="9" t="inlineStr">
        <is>
          <t>초등</t>
        </is>
      </c>
      <c r="C33" s="9" t="inlineStr">
        <is>
          <t>초5</t>
        </is>
      </c>
      <c r="D33" s="9" t="n">
        <v>2</v>
      </c>
      <c r="E33" s="9" t="n">
        <v>2</v>
      </c>
      <c r="F33" s="10" t="inlineStr">
        <is>
          <t>2번 문항풀(AI 활용 기초)</t>
        </is>
      </c>
      <c r="G33" s="9" t="n">
        <v>2</v>
      </c>
      <c r="H33" s="9" t="inlineStr">
        <is>
          <t>AIU</t>
        </is>
      </c>
      <c r="I33" s="10" t="inlineStr">
        <is>
          <t>AI 이해</t>
        </is>
      </c>
      <c r="J33" s="4" t="inlineStr">
        <is>
          <t>A</t>
        </is>
      </c>
      <c r="K33" s="9" t="inlineStr">
        <is>
          <t>N</t>
        </is>
      </c>
      <c r="L33" s="9" t="inlineStr"/>
      <c r="M33" s="9" t="inlineStr"/>
      <c r="N33" s="6" t="inlineStr">
        <is>
          <t>AI가 사람처럼 보일 때도 기억해야 할 점은?</t>
        </is>
      </c>
      <c r="O33" s="6" t="inlineStr">
        <is>
          <t>사람이 만든 도구라 틀릴 수 있다</t>
        </is>
      </c>
      <c r="P33" s="6" t="inlineStr">
        <is>
          <t>사람과 똑같이 생각한다</t>
        </is>
      </c>
      <c r="Q33" s="6" t="inlineStr">
        <is>
          <t>늘 공평하다</t>
        </is>
      </c>
      <c r="R33" s="6" t="inlineStr">
        <is>
          <t>숙제를 대신하는 기계다</t>
        </is>
      </c>
      <c r="S33" s="7" t="n">
        <v>1</v>
      </c>
      <c r="T33" s="6" t="inlineStr">
        <is>
          <t>사람이 만든 도구라 틀릴 수 있다</t>
        </is>
      </c>
      <c r="U33" s="7" t="inlineStr">
        <is>
          <t>AI 이해 기초 판단</t>
        </is>
      </c>
      <c r="V33" s="6" t="inlineStr">
        <is>
          <t>초5 2번 문항풀의 AI 이해 영역 진단 문항입니다. 학생이 AI의 기본 원리와 한계를 구분하는지를 확인하는 데 활용합니다.</t>
        </is>
      </c>
      <c r="W33" s="7" t="inlineStr">
        <is>
          <t>4-1-2-3-4-1-2-3-4-1</t>
        </is>
      </c>
    </row>
    <row r="34">
      <c r="A34" s="9" t="inlineStr">
        <is>
          <t>E5-P2-03</t>
        </is>
      </c>
      <c r="B34" s="9" t="inlineStr">
        <is>
          <t>초등</t>
        </is>
      </c>
      <c r="C34" s="9" t="inlineStr">
        <is>
          <t>초5</t>
        </is>
      </c>
      <c r="D34" s="9" t="n">
        <v>2</v>
      </c>
      <c r="E34" s="9" t="n">
        <v>2</v>
      </c>
      <c r="F34" s="10" t="inlineStr">
        <is>
          <t>2번 문항풀(AI 활용 기초)</t>
        </is>
      </c>
      <c r="G34" s="9" t="n">
        <v>3</v>
      </c>
      <c r="H34" s="9" t="inlineStr">
        <is>
          <t>AIA</t>
        </is>
      </c>
      <c r="I34" s="10" t="inlineStr">
        <is>
          <t>AI 활용 태도</t>
        </is>
      </c>
      <c r="J34" s="8" t="inlineStr">
        <is>
          <t>B</t>
        </is>
      </c>
      <c r="K34" s="9" t="inlineStr">
        <is>
          <t>N</t>
        </is>
      </c>
      <c r="L34" s="9" t="inlineStr"/>
      <c r="M34" s="9" t="inlineStr"/>
      <c r="N34" s="6" t="inlineStr">
        <is>
          <t>AI가 알려 준 내용을 숙제에 쓸 때 가장 좋은 방법은?</t>
        </is>
      </c>
      <c r="O34" s="6" t="inlineStr">
        <is>
          <t>그대로 복사해 붙인다</t>
        </is>
      </c>
      <c r="P34" s="6" t="inlineStr">
        <is>
          <t>한 번 읽어 보고 맞는지 확인한 뒤 사용한다</t>
        </is>
      </c>
      <c r="Q34" s="6" t="inlineStr">
        <is>
          <t>친구 이름으로 낸다</t>
        </is>
      </c>
      <c r="R34" s="6" t="inlineStr">
        <is>
          <t>아무 생각 없이 제출한다</t>
        </is>
      </c>
      <c r="S34" s="7" t="n">
        <v>2</v>
      </c>
      <c r="T34" s="6" t="inlineStr">
        <is>
          <t>한 번 읽어 보고 맞는지 확인한 뒤 사용한다</t>
        </is>
      </c>
      <c r="U34" s="7" t="inlineStr">
        <is>
          <t>AI 활용 태도 기초 판단</t>
        </is>
      </c>
      <c r="V34" s="6" t="inlineStr">
        <is>
          <t>초5 2번 문항풀의 AI 활용 태도 영역 진단 문항입니다. 학생이 AI를 무비판적으로 사용하지 않고 검토하려는지를 확인하는 데 활용합니다.</t>
        </is>
      </c>
      <c r="W34" s="7" t="inlineStr">
        <is>
          <t>4-1-2-3-4-1-2-3-4-1</t>
        </is>
      </c>
    </row>
    <row r="35">
      <c r="A35" s="9" t="inlineStr">
        <is>
          <t>E5-P2-04</t>
        </is>
      </c>
      <c r="B35" s="9" t="inlineStr">
        <is>
          <t>초등</t>
        </is>
      </c>
      <c r="C35" s="9" t="inlineStr">
        <is>
          <t>초5</t>
        </is>
      </c>
      <c r="D35" s="9" t="n">
        <v>2</v>
      </c>
      <c r="E35" s="9" t="n">
        <v>2</v>
      </c>
      <c r="F35" s="10" t="inlineStr">
        <is>
          <t>2번 문항풀(AI 활용 기초)</t>
        </is>
      </c>
      <c r="G35" s="9" t="n">
        <v>4</v>
      </c>
      <c r="H35" s="9" t="inlineStr">
        <is>
          <t>DPS</t>
        </is>
      </c>
      <c r="I35" s="10" t="inlineStr">
        <is>
          <t>문제해결</t>
        </is>
      </c>
      <c r="J35" s="8" t="inlineStr">
        <is>
          <t>B</t>
        </is>
      </c>
      <c r="K35" s="9" t="inlineStr">
        <is>
          <t>N</t>
        </is>
      </c>
      <c r="L35" s="9" t="inlineStr"/>
      <c r="M35" s="9" t="inlineStr"/>
      <c r="N35" s="6" t="inlineStr">
        <is>
          <t>앱이 원하는 대로 실행되지 않을 때 가장 알맞은 행동은?</t>
        </is>
      </c>
      <c r="O35" s="6" t="inlineStr">
        <is>
          <t>기기를 끄고 포기한다</t>
        </is>
      </c>
      <c r="P35" s="6" t="inlineStr">
        <is>
          <t>친구 탓을 한다</t>
        </is>
      </c>
      <c r="Q35" s="6" t="inlineStr">
        <is>
          <t>왜 그런지 하나씩 확인한다</t>
        </is>
      </c>
      <c r="R35" s="6" t="inlineStr">
        <is>
          <t>화면을 계속 세게 누른다</t>
        </is>
      </c>
      <c r="S35" s="7" t="n">
        <v>3</v>
      </c>
      <c r="T35" s="6" t="inlineStr">
        <is>
          <t>왜 그런지 하나씩 확인한다</t>
        </is>
      </c>
      <c r="U35" s="7" t="inlineStr">
        <is>
          <t>문제해결 기초 판단</t>
        </is>
      </c>
      <c r="V35" s="6" t="inlineStr">
        <is>
          <t>초5 2번 문항풀의 문제해결 영역 진단 문항입니다. 학생이 디지털 문제를 단계적으로 해결하려는지를 확인하는 데 활용합니다.</t>
        </is>
      </c>
      <c r="W35" s="7" t="inlineStr">
        <is>
          <t>4-1-2-3-4-1-2-3-4-1</t>
        </is>
      </c>
    </row>
    <row r="36">
      <c r="A36" s="9" t="inlineStr">
        <is>
          <t>E5-P2-05</t>
        </is>
      </c>
      <c r="B36" s="9" t="inlineStr">
        <is>
          <t>초등</t>
        </is>
      </c>
      <c r="C36" s="9" t="inlineStr">
        <is>
          <t>초5</t>
        </is>
      </c>
      <c r="D36" s="9" t="n">
        <v>2</v>
      </c>
      <c r="E36" s="9" t="n">
        <v>2</v>
      </c>
      <c r="F36" s="10" t="inlineStr">
        <is>
          <t>2번 문항풀(AI 활용 기초)</t>
        </is>
      </c>
      <c r="G36" s="9" t="n">
        <v>5</v>
      </c>
      <c r="H36" s="9" t="inlineStr">
        <is>
          <t>AIC</t>
        </is>
      </c>
      <c r="I36" s="10" t="inlineStr">
        <is>
          <t>결과 검토</t>
        </is>
      </c>
      <c r="J36" s="8" t="inlineStr">
        <is>
          <t>B</t>
        </is>
      </c>
      <c r="K36" s="5" t="inlineStr">
        <is>
          <t>Y</t>
        </is>
      </c>
      <c r="L36" s="5" t="inlineStr">
        <is>
          <t>초5-P2-A2</t>
        </is>
      </c>
      <c r="M36" s="5" t="inlineStr">
        <is>
          <t>비판적 판단 기준문항</t>
        </is>
      </c>
      <c r="N36" s="6" t="inlineStr">
        <is>
          <t>AI 결과가 이상해 보일 때 해야 할 일은?</t>
        </is>
      </c>
      <c r="O36" s="6" t="inlineStr">
        <is>
          <t>바로 정답으로 믿는다</t>
        </is>
      </c>
      <c r="P36" s="6" t="inlineStr">
        <is>
          <t>틀렸다고 화만 낸다</t>
        </is>
      </c>
      <c r="Q36" s="6" t="inlineStr">
        <is>
          <t>그냥 지운다</t>
        </is>
      </c>
      <c r="R36" s="6" t="inlineStr">
        <is>
          <t>다시 입력하거나 다른 자료와 비교한다</t>
        </is>
      </c>
      <c r="S36" s="7" t="n">
        <v>4</v>
      </c>
      <c r="T36" s="6" t="inlineStr">
        <is>
          <t>다시 입력하거나 다른 자료와 비교한다</t>
        </is>
      </c>
      <c r="U36" s="7" t="inlineStr">
        <is>
          <t>결과 검토 기초 판단</t>
        </is>
      </c>
      <c r="V36" s="6" t="inlineStr">
        <is>
          <t>초5 2번 문항풀의 결과 검토 영역 진단 문항입니다. 학생이 AI·디지털 결과물을 근거 중심으로 다시 확인하는지를 확인하는 데 활용합니다.</t>
        </is>
      </c>
      <c r="W36" s="7" t="inlineStr">
        <is>
          <t>4-1-2-3-4-1-2-3-4-1</t>
        </is>
      </c>
    </row>
    <row r="37">
      <c r="A37" s="9" t="inlineStr">
        <is>
          <t>E5-P2-06</t>
        </is>
      </c>
      <c r="B37" s="9" t="inlineStr">
        <is>
          <t>초등</t>
        </is>
      </c>
      <c r="C37" s="9" t="inlineStr">
        <is>
          <t>초5</t>
        </is>
      </c>
      <c r="D37" s="9" t="n">
        <v>2</v>
      </c>
      <c r="E37" s="9" t="n">
        <v>2</v>
      </c>
      <c r="F37" s="10" t="inlineStr">
        <is>
          <t>2번 문항풀(AI 활용 기초)</t>
        </is>
      </c>
      <c r="G37" s="9" t="n">
        <v>6</v>
      </c>
      <c r="H37" s="9" t="inlineStr">
        <is>
          <t>AIE</t>
        </is>
      </c>
      <c r="I37" s="10" t="inlineStr">
        <is>
          <t>책임 있는 활용</t>
        </is>
      </c>
      <c r="J37" s="8" t="inlineStr">
        <is>
          <t>B</t>
        </is>
      </c>
      <c r="K37" s="9" t="inlineStr">
        <is>
          <t>N</t>
        </is>
      </c>
      <c r="L37" s="9" t="inlineStr"/>
      <c r="M37" s="9" t="inlineStr"/>
      <c r="N37" s="6" t="inlineStr">
        <is>
          <t>AI로 친구 사진을 바꿔 놀리는 행동이 문제인 이유는?</t>
        </is>
      </c>
      <c r="O37" s="6" t="inlineStr">
        <is>
          <t>친구를 속이거나 상처 주는 데 쓸 수 있어서</t>
        </is>
      </c>
      <c r="P37" s="6" t="inlineStr">
        <is>
          <t>배터리가 빨리 닳아서</t>
        </is>
      </c>
      <c r="Q37" s="6" t="inlineStr">
        <is>
          <t>데이터가 많아서</t>
        </is>
      </c>
      <c r="R37" s="6" t="inlineStr">
        <is>
          <t>화질이 나빠서</t>
        </is>
      </c>
      <c r="S37" s="7" t="n">
        <v>1</v>
      </c>
      <c r="T37" s="6" t="inlineStr">
        <is>
          <t>친구를 속이거나 상처 주는 데 쓸 수 있어서</t>
        </is>
      </c>
      <c r="U37" s="7" t="inlineStr">
        <is>
          <t>책임 있는 활용 기초 판단</t>
        </is>
      </c>
      <c r="V37" s="6" t="inlineStr">
        <is>
          <t>초5 2번 문항풀의 책임 있는 활용 영역 진단 문항입니다. 학생이 AI·디지털 도구를 타인에게 해를 주지 않게 사용하는지를 확인하는 데 활용합니다.</t>
        </is>
      </c>
      <c r="W37" s="7" t="inlineStr">
        <is>
          <t>4-1-2-3-4-1-2-3-4-1</t>
        </is>
      </c>
    </row>
    <row r="38">
      <c r="A38" s="9" t="inlineStr">
        <is>
          <t>E5-P2-07</t>
        </is>
      </c>
      <c r="B38" s="9" t="inlineStr">
        <is>
          <t>초등</t>
        </is>
      </c>
      <c r="C38" s="9" t="inlineStr">
        <is>
          <t>초5</t>
        </is>
      </c>
      <c r="D38" s="9" t="n">
        <v>2</v>
      </c>
      <c r="E38" s="9" t="n">
        <v>2</v>
      </c>
      <c r="F38" s="10" t="inlineStr">
        <is>
          <t>2번 문항풀(AI 활용 기초)</t>
        </is>
      </c>
      <c r="G38" s="9" t="n">
        <v>7</v>
      </c>
      <c r="H38" s="9" t="inlineStr">
        <is>
          <t>COL</t>
        </is>
      </c>
      <c r="I38" s="10" t="inlineStr">
        <is>
          <t>협업 태도</t>
        </is>
      </c>
      <c r="J38" s="4" t="inlineStr">
        <is>
          <t>A</t>
        </is>
      </c>
      <c r="K38" s="9" t="inlineStr">
        <is>
          <t>N</t>
        </is>
      </c>
      <c r="L38" s="9" t="inlineStr"/>
      <c r="M38" s="9" t="inlineStr"/>
      <c r="N38" s="6" t="inlineStr">
        <is>
          <t>친구와 함께 디지털 과제를 할 때 가장 좋은 방법은?</t>
        </is>
      </c>
      <c r="O38" s="6" t="inlineStr">
        <is>
          <t>한 명만 계속 시킨다</t>
        </is>
      </c>
      <c r="P38" s="6" t="inlineStr">
        <is>
          <t>각자 역할을 나누고 함께 확인한다</t>
        </is>
      </c>
      <c r="Q38" s="6" t="inlineStr">
        <is>
          <t>친구가 한 것을 그대로 따라 한다</t>
        </is>
      </c>
      <c r="R38" s="6" t="inlineStr">
        <is>
          <t>내 것만 잘하면 된다</t>
        </is>
      </c>
      <c r="S38" s="7" t="n">
        <v>2</v>
      </c>
      <c r="T38" s="6" t="inlineStr">
        <is>
          <t>각자 역할을 나누고 함께 확인한다</t>
        </is>
      </c>
      <c r="U38" s="7" t="inlineStr">
        <is>
          <t>협업 태도 기초 판단</t>
        </is>
      </c>
      <c r="V38" s="6" t="inlineStr">
        <is>
          <t>초5 2번 문항풀의 협업 태도 영역 진단 문항입니다. 학생이 디지털 환경에서 역할을 나누고 협력하는지를 확인하는 데 활용합니다.</t>
        </is>
      </c>
      <c r="W38" s="7" t="inlineStr">
        <is>
          <t>4-1-2-3-4-1-2-3-4-1</t>
        </is>
      </c>
    </row>
    <row r="39">
      <c r="A39" s="9" t="inlineStr">
        <is>
          <t>E5-P2-08</t>
        </is>
      </c>
      <c r="B39" s="9" t="inlineStr">
        <is>
          <t>초등</t>
        </is>
      </c>
      <c r="C39" s="9" t="inlineStr">
        <is>
          <t>초5</t>
        </is>
      </c>
      <c r="D39" s="9" t="n">
        <v>2</v>
      </c>
      <c r="E39" s="9" t="n">
        <v>2</v>
      </c>
      <c r="F39" s="10" t="inlineStr">
        <is>
          <t>2번 문항풀(AI 활용 기초)</t>
        </is>
      </c>
      <c r="G39" s="9" t="n">
        <v>8</v>
      </c>
      <c r="H39" s="9" t="inlineStr">
        <is>
          <t>SELF</t>
        </is>
      </c>
      <c r="I39" s="10" t="inlineStr">
        <is>
          <t>자기주도성</t>
        </is>
      </c>
      <c r="J39" s="4" t="inlineStr">
        <is>
          <t>A</t>
        </is>
      </c>
      <c r="K39" s="9" t="inlineStr">
        <is>
          <t>N</t>
        </is>
      </c>
      <c r="L39" s="9" t="inlineStr"/>
      <c r="M39" s="9" t="inlineStr"/>
      <c r="N39" s="6" t="inlineStr">
        <is>
          <t>수업에서 배운 기능을 더 잘 익히려면?</t>
        </is>
      </c>
      <c r="O39" s="6" t="inlineStr">
        <is>
          <t>모르면 바로 그만둔다</t>
        </is>
      </c>
      <c r="P39" s="6" t="inlineStr">
        <is>
          <t>친구가 대신 하게 둔다</t>
        </is>
      </c>
      <c r="Q39" s="6" t="inlineStr">
        <is>
          <t>설명을 다시 보고 스스로 한번 더 해 본다</t>
        </is>
      </c>
      <c r="R39" s="6" t="inlineStr">
        <is>
          <t>다음 수업까지 아무것도 안 한다</t>
        </is>
      </c>
      <c r="S39" s="7" t="n">
        <v>3</v>
      </c>
      <c r="T39" s="6" t="inlineStr">
        <is>
          <t>설명을 다시 보고 스스로 한번 더 해 본다</t>
        </is>
      </c>
      <c r="U39" s="7" t="inlineStr">
        <is>
          <t>자기주도성 기초 판단</t>
        </is>
      </c>
      <c r="V39" s="6" t="inlineStr">
        <is>
          <t>초5 2번 문항풀의 자기주도성 영역 진단 문항입니다. 학생이 새로운 디지털 도구를 스스로 시도하고 학습하려는지를 확인하는 데 활용합니다.</t>
        </is>
      </c>
      <c r="W39" s="7" t="inlineStr">
        <is>
          <t>4-1-2-3-4-1-2-3-4-1</t>
        </is>
      </c>
    </row>
    <row r="40">
      <c r="A40" s="9" t="inlineStr">
        <is>
          <t>E5-P2-09</t>
        </is>
      </c>
      <c r="B40" s="9" t="inlineStr">
        <is>
          <t>초등</t>
        </is>
      </c>
      <c r="C40" s="9" t="inlineStr">
        <is>
          <t>초5</t>
        </is>
      </c>
      <c r="D40" s="9" t="n">
        <v>2</v>
      </c>
      <c r="E40" s="9" t="n">
        <v>2</v>
      </c>
      <c r="F40" s="10" t="inlineStr">
        <is>
          <t>2번 문항풀(AI 활용 기초)</t>
        </is>
      </c>
      <c r="G40" s="9" t="n">
        <v>9</v>
      </c>
      <c r="H40" s="9" t="inlineStr">
        <is>
          <t>DATA</t>
        </is>
      </c>
      <c r="I40" s="10" t="inlineStr">
        <is>
          <t>데이터 이해</t>
        </is>
      </c>
      <c r="J40" s="8" t="inlineStr">
        <is>
          <t>B</t>
        </is>
      </c>
      <c r="K40" s="9" t="inlineStr">
        <is>
          <t>N</t>
        </is>
      </c>
      <c r="L40" s="9" t="inlineStr"/>
      <c r="M40" s="9" t="inlineStr"/>
      <c r="N40" s="6" t="inlineStr">
        <is>
          <t>AI가 더 알맞은 결과를 내게 하려면 무엇이 중요할까?</t>
        </is>
      </c>
      <c r="O40" s="6" t="inlineStr">
        <is>
          <t>화면 색깔</t>
        </is>
      </c>
      <c r="P40" s="6" t="inlineStr">
        <is>
          <t>볼륨 크기</t>
        </is>
      </c>
      <c r="Q40" s="6" t="inlineStr">
        <is>
          <t>앱 이름</t>
        </is>
      </c>
      <c r="R40" s="6" t="inlineStr">
        <is>
          <t>좋은 자료를 넣어 주는 것</t>
        </is>
      </c>
      <c r="S40" s="7" t="n">
        <v>4</v>
      </c>
      <c r="T40" s="6" t="inlineStr">
        <is>
          <t>좋은 자료를 넣어 주는 것</t>
        </is>
      </c>
      <c r="U40" s="7" t="inlineStr">
        <is>
          <t>데이터 이해 기초 판단</t>
        </is>
      </c>
      <c r="V40" s="6" t="inlineStr">
        <is>
          <t>초5 2번 문항풀의 데이터 이해 영역 진단 문항입니다. 학생이 데이터가 결과에 영향을 준다는 점을 이해하는지를 확인하는 데 활용합니다.</t>
        </is>
      </c>
      <c r="W40" s="7" t="inlineStr">
        <is>
          <t>4-1-2-3-4-1-2-3-4-1</t>
        </is>
      </c>
    </row>
    <row r="41">
      <c r="A41" s="9" t="inlineStr">
        <is>
          <t>E5-P2-10</t>
        </is>
      </c>
      <c r="B41" s="9" t="inlineStr">
        <is>
          <t>초등</t>
        </is>
      </c>
      <c r="C41" s="9" t="inlineStr">
        <is>
          <t>초5</t>
        </is>
      </c>
      <c r="D41" s="9" t="n">
        <v>2</v>
      </c>
      <c r="E41" s="9" t="n">
        <v>2</v>
      </c>
      <c r="F41" s="10" t="inlineStr">
        <is>
          <t>2번 문항풀(AI 활용 기초)</t>
        </is>
      </c>
      <c r="G41" s="9" t="n">
        <v>10</v>
      </c>
      <c r="H41" s="9" t="inlineStr">
        <is>
          <t>CARE</t>
        </is>
      </c>
      <c r="I41" s="10" t="inlineStr">
        <is>
          <t>진로 인식</t>
        </is>
      </c>
      <c r="J41" s="4" t="inlineStr">
        <is>
          <t>A</t>
        </is>
      </c>
      <c r="K41" s="9" t="inlineStr">
        <is>
          <t>N</t>
        </is>
      </c>
      <c r="L41" s="9" t="inlineStr"/>
      <c r="M41" s="9" t="inlineStr"/>
      <c r="N41" s="6" t="inlineStr">
        <is>
          <t>AI와 코딩을 배우는 이유로 가장 알맞은 것은?</t>
        </is>
      </c>
      <c r="O41" s="6" t="inlineStr">
        <is>
          <t>앞으로 학교와 생활에서 다양하게 활용될 수 있어서</t>
        </is>
      </c>
      <c r="P41" s="6" t="inlineStr">
        <is>
          <t>수업 시간에만 필요해서</t>
        </is>
      </c>
      <c r="Q41" s="6" t="inlineStr">
        <is>
          <t>게임만 잘하려고</t>
        </is>
      </c>
      <c r="R41" s="6" t="inlineStr">
        <is>
          <t>어른만 쓰는 기술이라서</t>
        </is>
      </c>
      <c r="S41" s="7" t="n">
        <v>1</v>
      </c>
      <c r="T41" s="6" t="inlineStr">
        <is>
          <t>앞으로 학교와 생활에서 다양하게 활용될 수 있어서</t>
        </is>
      </c>
      <c r="U41" s="7" t="inlineStr">
        <is>
          <t>진로 인식 기초 판단</t>
        </is>
      </c>
      <c r="V41" s="6" t="inlineStr">
        <is>
          <t>초5 2번 문항풀의 진로 인식 영역 진단 문항입니다. 학생이 디지털 역량과 진로의 연결성을 인식하는지를 확인하는 데 활용합니다.</t>
        </is>
      </c>
      <c r="W41" s="7" t="inlineStr">
        <is>
          <t>4-1-2-3-4-1-2-3-4-1</t>
        </is>
      </c>
    </row>
    <row r="42">
      <c r="A42" s="2" t="inlineStr">
        <is>
          <t>E6-P1-01</t>
        </is>
      </c>
      <c r="B42" s="2" t="inlineStr">
        <is>
          <t>초등</t>
        </is>
      </c>
      <c r="C42" s="2" t="inlineStr">
        <is>
          <t>초6</t>
        </is>
      </c>
      <c r="D42" s="2" t="n">
        <v>1</v>
      </c>
      <c r="E42" s="2" t="n">
        <v>1</v>
      </c>
      <c r="F42" s="3" t="inlineStr">
        <is>
          <t>1번 문항풀(디지털 기초소양)</t>
        </is>
      </c>
      <c r="G42" s="2" t="n">
        <v>1</v>
      </c>
      <c r="H42" s="2" t="inlineStr">
        <is>
          <t>PRIV</t>
        </is>
      </c>
      <c r="I42" s="3" t="inlineStr">
        <is>
          <t>개인정보 보호</t>
        </is>
      </c>
      <c r="J42" s="4" t="inlineStr">
        <is>
          <t>A</t>
        </is>
      </c>
      <c r="K42" s="5" t="inlineStr">
        <is>
          <t>Y</t>
        </is>
      </c>
      <c r="L42" s="5" t="inlineStr">
        <is>
          <t>초6-P1-A1</t>
        </is>
      </c>
      <c r="M42" s="5" t="inlineStr">
        <is>
          <t>기초 기준문항</t>
        </is>
      </c>
      <c r="N42" s="6" t="inlineStr">
        <is>
          <t>다음 중 개인정보에 해당하는 것을 고르세요.</t>
        </is>
      </c>
      <c r="O42" s="6" t="inlineStr">
        <is>
          <t>좋아하는 과목</t>
        </is>
      </c>
      <c r="P42" s="6" t="inlineStr">
        <is>
          <t>오늘의 날씨</t>
        </is>
      </c>
      <c r="Q42" s="6" t="inlineStr">
        <is>
          <t>전화번호와 집 주소</t>
        </is>
      </c>
      <c r="R42" s="6" t="inlineStr">
        <is>
          <t>교실 번호</t>
        </is>
      </c>
      <c r="S42" s="7" t="n">
        <v>3</v>
      </c>
      <c r="T42" s="6" t="inlineStr">
        <is>
          <t>전화번호와 집 주소</t>
        </is>
      </c>
      <c r="U42" s="7" t="inlineStr">
        <is>
          <t>개인정보 보호 기초 판단</t>
        </is>
      </c>
      <c r="V42" s="6" t="inlineStr">
        <is>
          <t>초6 1번 문항풀의 개인정보 보호 영역 진단 문항입니다. 학생이 개인정보 노출 위험을 인식하고 안전한 대응을 선택하는지를 확인하는 데 활용합니다.</t>
        </is>
      </c>
      <c r="W42" s="7" t="inlineStr">
        <is>
          <t>3-4-1-2-3-4-1-2-3-4</t>
        </is>
      </c>
    </row>
    <row r="43">
      <c r="A43" s="2" t="inlineStr">
        <is>
          <t>E6-P1-02</t>
        </is>
      </c>
      <c r="B43" s="2" t="inlineStr">
        <is>
          <t>초등</t>
        </is>
      </c>
      <c r="C43" s="2" t="inlineStr">
        <is>
          <t>초6</t>
        </is>
      </c>
      <c r="D43" s="2" t="n">
        <v>1</v>
      </c>
      <c r="E43" s="2" t="n">
        <v>1</v>
      </c>
      <c r="F43" s="3" t="inlineStr">
        <is>
          <t>1번 문항풀(디지털 기초소양)</t>
        </is>
      </c>
      <c r="G43" s="2" t="n">
        <v>2</v>
      </c>
      <c r="H43" s="2" t="inlineStr">
        <is>
          <t>SAFE_ACC</t>
        </is>
      </c>
      <c r="I43" s="3" t="inlineStr">
        <is>
          <t>계정 안전</t>
        </is>
      </c>
      <c r="J43" s="4" t="inlineStr">
        <is>
          <t>A</t>
        </is>
      </c>
      <c r="K43" s="2" t="inlineStr">
        <is>
          <t>N</t>
        </is>
      </c>
      <c r="L43" s="2" t="inlineStr"/>
      <c r="M43" s="2" t="inlineStr"/>
      <c r="N43" s="6" t="inlineStr">
        <is>
          <t>안전한 계정 사용을 위해 가장 알맞은 행동은?</t>
        </is>
      </c>
      <c r="O43" s="6" t="inlineStr">
        <is>
          <t>비밀번호를 친구와 서로 알려 준다</t>
        </is>
      </c>
      <c r="P43" s="6" t="inlineStr">
        <is>
          <t>여러 사이트에서 같은 비밀번호를 쓴다</t>
        </is>
      </c>
      <c r="Q43" s="6" t="inlineStr">
        <is>
          <t>종이에 크게 적어 둔다</t>
        </is>
      </c>
      <c r="R43" s="6" t="inlineStr">
        <is>
          <t>비밀번호를 쉽게 보이지 않게 관리한다</t>
        </is>
      </c>
      <c r="S43" s="7" t="n">
        <v>4</v>
      </c>
      <c r="T43" s="6" t="inlineStr">
        <is>
          <t>비밀번호를 쉽게 보이지 않게 관리한다</t>
        </is>
      </c>
      <c r="U43" s="7" t="inlineStr">
        <is>
          <t>계정 안전 기초 판단</t>
        </is>
      </c>
      <c r="V43" s="6" t="inlineStr">
        <is>
          <t>초6 1번 문항풀의 계정 안전 영역 진단 문항입니다. 학생이 계정 보안의 기본 원칙을 이해하고 실천하려는지를 확인하는 데 활용합니다.</t>
        </is>
      </c>
      <c r="W43" s="7" t="inlineStr">
        <is>
          <t>3-4-1-2-3-4-1-2-3-4</t>
        </is>
      </c>
    </row>
    <row r="44">
      <c r="A44" s="2" t="inlineStr">
        <is>
          <t>E6-P1-03</t>
        </is>
      </c>
      <c r="B44" s="2" t="inlineStr">
        <is>
          <t>초등</t>
        </is>
      </c>
      <c r="C44" s="2" t="inlineStr">
        <is>
          <t>초6</t>
        </is>
      </c>
      <c r="D44" s="2" t="n">
        <v>1</v>
      </c>
      <c r="E44" s="2" t="n">
        <v>1</v>
      </c>
      <c r="F44" s="3" t="inlineStr">
        <is>
          <t>1번 문항풀(디지털 기초소양)</t>
        </is>
      </c>
      <c r="G44" s="2" t="n">
        <v>3</v>
      </c>
      <c r="H44" s="2" t="inlineStr">
        <is>
          <t>NET_CIT</t>
        </is>
      </c>
      <c r="I44" s="3" t="inlineStr">
        <is>
          <t>디지털 시민성</t>
        </is>
      </c>
      <c r="J44" s="8" t="inlineStr">
        <is>
          <t>B</t>
        </is>
      </c>
      <c r="K44" s="2" t="inlineStr">
        <is>
          <t>N</t>
        </is>
      </c>
      <c r="L44" s="2" t="inlineStr"/>
      <c r="M44" s="2" t="inlineStr"/>
      <c r="N44" s="6" t="inlineStr">
        <is>
          <t>온라인에서도 책임 있는 행동이 필요한 이유로 가장 알맞은 것은?</t>
        </is>
      </c>
      <c r="O44" s="6" t="inlineStr">
        <is>
          <t>상대방에게 실제로 영향을 줄 수 있어서</t>
        </is>
      </c>
      <c r="P44" s="6" t="inlineStr">
        <is>
          <t>인터넷에서는 무엇이든 해도 돼서</t>
        </is>
      </c>
      <c r="Q44" s="6" t="inlineStr">
        <is>
          <t>금방 지우면 흔적이 안 남아서</t>
        </is>
      </c>
      <c r="R44" s="6" t="inlineStr">
        <is>
          <t>장난은 다 괜찮아서</t>
        </is>
      </c>
      <c r="S44" s="7" t="n">
        <v>1</v>
      </c>
      <c r="T44" s="6" t="inlineStr">
        <is>
          <t>상대방에게 실제로 영향을 줄 수 있어서</t>
        </is>
      </c>
      <c r="U44" s="7" t="inlineStr">
        <is>
          <t>디지털 시민성 기초 판단</t>
        </is>
      </c>
      <c r="V44" s="6" t="inlineStr">
        <is>
          <t>초6 1번 문항풀의 디지털 시민성 영역 진단 문항입니다. 학생이 온라인에서 타인을 배려하고 책임 있게 행동하는지를 확인하는 데 활용합니다.</t>
        </is>
      </c>
      <c r="W44" s="7" t="inlineStr">
        <is>
          <t>3-4-1-2-3-4-1-2-3-4</t>
        </is>
      </c>
    </row>
    <row r="45">
      <c r="A45" s="2" t="inlineStr">
        <is>
          <t>E6-P1-04</t>
        </is>
      </c>
      <c r="B45" s="2" t="inlineStr">
        <is>
          <t>초등</t>
        </is>
      </c>
      <c r="C45" s="2" t="inlineStr">
        <is>
          <t>초6</t>
        </is>
      </c>
      <c r="D45" s="2" t="n">
        <v>1</v>
      </c>
      <c r="E45" s="2" t="n">
        <v>1</v>
      </c>
      <c r="F45" s="3" t="inlineStr">
        <is>
          <t>1번 문항풀(디지털 기초소양)</t>
        </is>
      </c>
      <c r="G45" s="2" t="n">
        <v>4</v>
      </c>
      <c r="H45" s="2" t="inlineStr">
        <is>
          <t>PHOTO</t>
        </is>
      </c>
      <c r="I45" s="3" t="inlineStr">
        <is>
          <t>사진·초상권</t>
        </is>
      </c>
      <c r="J45" s="8" t="inlineStr">
        <is>
          <t>B</t>
        </is>
      </c>
      <c r="K45" s="2" t="inlineStr">
        <is>
          <t>N</t>
        </is>
      </c>
      <c r="L45" s="2" t="inlineStr"/>
      <c r="M45" s="2" t="inlineStr"/>
      <c r="N45" s="6" t="inlineStr">
        <is>
          <t>학급 사진을 올리기 전에 가장 먼저 생각해야 할 것은?</t>
        </is>
      </c>
      <c r="O45" s="6" t="inlineStr">
        <is>
          <t>사진이 예쁘게 나왔는지</t>
        </is>
      </c>
      <c r="P45" s="6" t="inlineStr">
        <is>
          <t>친구들이 올려도 된다고 했는지</t>
        </is>
      </c>
      <c r="Q45" s="6" t="inlineStr">
        <is>
          <t>좋아요 수가 많이 나올지</t>
        </is>
      </c>
      <c r="R45" s="6" t="inlineStr">
        <is>
          <t>배경 색깔이 밝은지</t>
        </is>
      </c>
      <c r="S45" s="7" t="n">
        <v>2</v>
      </c>
      <c r="T45" s="6" t="inlineStr">
        <is>
          <t>친구들이 올려도 된다고 했는지</t>
        </is>
      </c>
      <c r="U45" s="7" t="inlineStr">
        <is>
          <t>사진·초상권 기초 판단</t>
        </is>
      </c>
      <c r="V45" s="6" t="inlineStr">
        <is>
          <t>초6 1번 문항풀의 사진·초상권 영역 진단 문항입니다. 학생이 사진·영상 공유 전 동의와 배려의 필요를 이해하는지를 확인하는 데 활용합니다.</t>
        </is>
      </c>
      <c r="W45" s="7" t="inlineStr">
        <is>
          <t>3-4-1-2-3-4-1-2-3-4</t>
        </is>
      </c>
    </row>
    <row r="46">
      <c r="A46" s="2" t="inlineStr">
        <is>
          <t>E6-P1-05</t>
        </is>
      </c>
      <c r="B46" s="2" t="inlineStr">
        <is>
          <t>초등</t>
        </is>
      </c>
      <c r="C46" s="2" t="inlineStr">
        <is>
          <t>초6</t>
        </is>
      </c>
      <c r="D46" s="2" t="n">
        <v>1</v>
      </c>
      <c r="E46" s="2" t="n">
        <v>1</v>
      </c>
      <c r="F46" s="3" t="inlineStr">
        <is>
          <t>1번 문항풀(디지털 기초소양)</t>
        </is>
      </c>
      <c r="G46" s="2" t="n">
        <v>5</v>
      </c>
      <c r="H46" s="2" t="inlineStr">
        <is>
          <t>INFO</t>
        </is>
      </c>
      <c r="I46" s="3" t="inlineStr">
        <is>
          <t>정보 신뢰성</t>
        </is>
      </c>
      <c r="J46" s="8" t="inlineStr">
        <is>
          <t>B</t>
        </is>
      </c>
      <c r="K46" s="5" t="inlineStr">
        <is>
          <t>Y</t>
        </is>
      </c>
      <c r="L46" s="5" t="inlineStr">
        <is>
          <t>초6-P1-A2</t>
        </is>
      </c>
      <c r="M46" s="5" t="inlineStr">
        <is>
          <t>비판적 판단 기준문항</t>
        </is>
      </c>
      <c r="N46" s="6" t="inlineStr">
        <is>
          <t>인터넷에서 정보를 찾을 때 가장 먼저 확인하면 좋은 것은?</t>
        </is>
      </c>
      <c r="O46" s="6" t="inlineStr">
        <is>
          <t>글자 크기</t>
        </is>
      </c>
      <c r="P46" s="6" t="inlineStr">
        <is>
          <t>그림 개수</t>
        </is>
      </c>
      <c r="Q46" s="6" t="inlineStr">
        <is>
          <t>작성한 사람이나 기관</t>
        </is>
      </c>
      <c r="R46" s="6" t="inlineStr">
        <is>
          <t>댓글 수</t>
        </is>
      </c>
      <c r="S46" s="7" t="n">
        <v>3</v>
      </c>
      <c r="T46" s="6" t="inlineStr">
        <is>
          <t>작성한 사람이나 기관</t>
        </is>
      </c>
      <c r="U46" s="7" t="inlineStr">
        <is>
          <t>정보 신뢰성 기초 판단</t>
        </is>
      </c>
      <c r="V46" s="6" t="inlineStr">
        <is>
          <t>초6 1번 문항풀의 정보 신뢰성 영역 진단 문항입니다. 학생이 온라인 정보의 출처와 신뢰도를 판단하는지를 확인하는 데 활용합니다.</t>
        </is>
      </c>
      <c r="W46" s="7" t="inlineStr">
        <is>
          <t>3-4-1-2-3-4-1-2-3-4</t>
        </is>
      </c>
    </row>
    <row r="47">
      <c r="A47" s="2" t="inlineStr">
        <is>
          <t>E6-P1-06</t>
        </is>
      </c>
      <c r="B47" s="2" t="inlineStr">
        <is>
          <t>초등</t>
        </is>
      </c>
      <c r="C47" s="2" t="inlineStr">
        <is>
          <t>초6</t>
        </is>
      </c>
      <c r="D47" s="2" t="n">
        <v>1</v>
      </c>
      <c r="E47" s="2" t="n">
        <v>1</v>
      </c>
      <c r="F47" s="3" t="inlineStr">
        <is>
          <t>1번 문항풀(디지털 기초소양)</t>
        </is>
      </c>
      <c r="G47" s="2" t="n">
        <v>6</v>
      </c>
      <c r="H47" s="2" t="inlineStr">
        <is>
          <t>INFO</t>
        </is>
      </c>
      <c r="I47" s="3" t="inlineStr">
        <is>
          <t>정보 신뢰성</t>
        </is>
      </c>
      <c r="J47" s="8" t="inlineStr">
        <is>
          <t>B</t>
        </is>
      </c>
      <c r="K47" s="2" t="inlineStr">
        <is>
          <t>N</t>
        </is>
      </c>
      <c r="L47" s="2" t="inlineStr"/>
      <c r="M47" s="2" t="inlineStr"/>
      <c r="N47" s="6" t="inlineStr">
        <is>
          <t>제목이 너무 자극적인 글을 봤을 때 가장 바른 태도는?</t>
        </is>
      </c>
      <c r="O47" s="6" t="inlineStr">
        <is>
          <t>제목만 보고 믿는다</t>
        </is>
      </c>
      <c r="P47" s="6" t="inlineStr">
        <is>
          <t>친구에게 바로 퍼뜨린다</t>
        </is>
      </c>
      <c r="Q47" s="6" t="inlineStr">
        <is>
          <t>재미있으면 사실이라고 생각한다</t>
        </is>
      </c>
      <c r="R47" s="6" t="inlineStr">
        <is>
          <t>내용과 출처를 더 확인한다</t>
        </is>
      </c>
      <c r="S47" s="7" t="n">
        <v>4</v>
      </c>
      <c r="T47" s="6" t="inlineStr">
        <is>
          <t>내용과 출처를 더 확인한다</t>
        </is>
      </c>
      <c r="U47" s="7" t="inlineStr">
        <is>
          <t>정보 신뢰성 기초 판단</t>
        </is>
      </c>
      <c r="V47" s="6" t="inlineStr">
        <is>
          <t>초6 1번 문항풀의 정보 신뢰성 영역 진단 문항입니다. 학생이 온라인 정보의 출처와 신뢰도를 판단하는지를 확인하는 데 활용합니다.</t>
        </is>
      </c>
      <c r="W47" s="7" t="inlineStr">
        <is>
          <t>3-4-1-2-3-4-1-2-3-4</t>
        </is>
      </c>
    </row>
    <row r="48">
      <c r="A48" s="2" t="inlineStr">
        <is>
          <t>E6-P1-07</t>
        </is>
      </c>
      <c r="B48" s="2" t="inlineStr">
        <is>
          <t>초등</t>
        </is>
      </c>
      <c r="C48" s="2" t="inlineStr">
        <is>
          <t>초6</t>
        </is>
      </c>
      <c r="D48" s="2" t="n">
        <v>1</v>
      </c>
      <c r="E48" s="2" t="n">
        <v>1</v>
      </c>
      <c r="F48" s="3" t="inlineStr">
        <is>
          <t>1번 문항풀(디지털 기초소양)</t>
        </is>
      </c>
      <c r="G48" s="2" t="n">
        <v>7</v>
      </c>
      <c r="H48" s="2" t="inlineStr">
        <is>
          <t>SAFE</t>
        </is>
      </c>
      <c r="I48" s="3" t="inlineStr">
        <is>
          <t>디지털 안전</t>
        </is>
      </c>
      <c r="J48" s="4" t="inlineStr">
        <is>
          <t>A</t>
        </is>
      </c>
      <c r="K48" s="2" t="inlineStr">
        <is>
          <t>N</t>
        </is>
      </c>
      <c r="L48" s="2" t="inlineStr"/>
      <c r="M48" s="2" t="inlineStr"/>
      <c r="N48" s="6" t="inlineStr">
        <is>
          <t>의심스러운 사이트에 들어갔다고 느껴질 때 가장 알맞은 행동은?</t>
        </is>
      </c>
      <c r="O48" s="6" t="inlineStr">
        <is>
          <t>바로 나와서 어른에게 알린다</t>
        </is>
      </c>
      <c r="P48" s="6" t="inlineStr">
        <is>
          <t>더 자세히 눌러 본다</t>
        </is>
      </c>
      <c r="Q48" s="6" t="inlineStr">
        <is>
          <t>계속 둘러본다</t>
        </is>
      </c>
      <c r="R48" s="6" t="inlineStr">
        <is>
          <t>친구에게 링크를 보낸다</t>
        </is>
      </c>
      <c r="S48" s="7" t="n">
        <v>1</v>
      </c>
      <c r="T48" s="6" t="inlineStr">
        <is>
          <t>바로 나와서 어른에게 알린다</t>
        </is>
      </c>
      <c r="U48" s="7" t="inlineStr">
        <is>
          <t>디지털 안전 기초 판단</t>
        </is>
      </c>
      <c r="V48" s="6" t="inlineStr">
        <is>
          <t>초6 1번 문항풀의 디지털 안전 영역 진단 문항입니다. 학생이 의심스러운 상황을 인식하고 안전하게 대처하는지를 확인하는 데 활용합니다.</t>
        </is>
      </c>
      <c r="W48" s="7" t="inlineStr">
        <is>
          <t>3-4-1-2-3-4-1-2-3-4</t>
        </is>
      </c>
    </row>
    <row r="49">
      <c r="A49" s="2" t="inlineStr">
        <is>
          <t>E6-P1-08</t>
        </is>
      </c>
      <c r="B49" s="2" t="inlineStr">
        <is>
          <t>초등</t>
        </is>
      </c>
      <c r="C49" s="2" t="inlineStr">
        <is>
          <t>초6</t>
        </is>
      </c>
      <c r="D49" s="2" t="n">
        <v>1</v>
      </c>
      <c r="E49" s="2" t="n">
        <v>1</v>
      </c>
      <c r="F49" s="3" t="inlineStr">
        <is>
          <t>1번 문항풀(디지털 기초소양)</t>
        </is>
      </c>
      <c r="G49" s="2" t="n">
        <v>8</v>
      </c>
      <c r="H49" s="2" t="inlineStr">
        <is>
          <t>SAFE</t>
        </is>
      </c>
      <c r="I49" s="3" t="inlineStr">
        <is>
          <t>디지털 안전</t>
        </is>
      </c>
      <c r="J49" s="4" t="inlineStr">
        <is>
          <t>A</t>
        </is>
      </c>
      <c r="K49" s="2" t="inlineStr">
        <is>
          <t>N</t>
        </is>
      </c>
      <c r="L49" s="2" t="inlineStr"/>
      <c r="M49" s="2" t="inlineStr"/>
      <c r="N49" s="6" t="inlineStr">
        <is>
          <t>온라인에서 기분 나쁜 일을 당했을 때 가장 바른 행동은?</t>
        </is>
      </c>
      <c r="O49" s="6" t="inlineStr">
        <is>
          <t>혼자 해결하려고 한다</t>
        </is>
      </c>
      <c r="P49" s="6" t="inlineStr">
        <is>
          <t>증거를 남기고 믿을 만한 어른에게 도움을 요청한다</t>
        </is>
      </c>
      <c r="Q49" s="6" t="inlineStr">
        <is>
          <t>상대에게 더 심한 말을 한다</t>
        </is>
      </c>
      <c r="R49" s="6" t="inlineStr">
        <is>
          <t>방을 나가고 아무에게도 말하지 않는다</t>
        </is>
      </c>
      <c r="S49" s="7" t="n">
        <v>2</v>
      </c>
      <c r="T49" s="6" t="inlineStr">
        <is>
          <t>증거를 남기고 믿을 만한 어른에게 도움을 요청한다</t>
        </is>
      </c>
      <c r="U49" s="7" t="inlineStr">
        <is>
          <t>디지털 안전 기초 판단</t>
        </is>
      </c>
      <c r="V49" s="6" t="inlineStr">
        <is>
          <t>초6 1번 문항풀의 디지털 안전 영역 진단 문항입니다. 학생이 의심스러운 상황을 인식하고 안전하게 대처하는지를 확인하는 데 활용합니다.</t>
        </is>
      </c>
      <c r="W49" s="7" t="inlineStr">
        <is>
          <t>3-4-1-2-3-4-1-2-3-4</t>
        </is>
      </c>
    </row>
    <row r="50">
      <c r="A50" s="2" t="inlineStr">
        <is>
          <t>E6-P1-09</t>
        </is>
      </c>
      <c r="B50" s="2" t="inlineStr">
        <is>
          <t>초등</t>
        </is>
      </c>
      <c r="C50" s="2" t="inlineStr">
        <is>
          <t>초6</t>
        </is>
      </c>
      <c r="D50" s="2" t="n">
        <v>1</v>
      </c>
      <c r="E50" s="2" t="n">
        <v>1</v>
      </c>
      <c r="F50" s="3" t="inlineStr">
        <is>
          <t>1번 문항풀(디지털 기초소양)</t>
        </is>
      </c>
      <c r="G50" s="2" t="n">
        <v>9</v>
      </c>
      <c r="H50" s="2" t="inlineStr">
        <is>
          <t>USE</t>
        </is>
      </c>
      <c r="I50" s="3" t="inlineStr">
        <is>
          <t>기기 사용 습관</t>
        </is>
      </c>
      <c r="J50" s="8" t="inlineStr">
        <is>
          <t>B</t>
        </is>
      </c>
      <c r="K50" s="2" t="inlineStr">
        <is>
          <t>N</t>
        </is>
      </c>
      <c r="L50" s="2" t="inlineStr"/>
      <c r="M50" s="2" t="inlineStr"/>
      <c r="N50" s="6" t="inlineStr">
        <is>
          <t>학습을 위해 기기를 사용할 때 가장 좋은 습관은?</t>
        </is>
      </c>
      <c r="O50" s="6" t="inlineStr">
        <is>
          <t>알림이 올 때마다 바로 확인한다</t>
        </is>
      </c>
      <c r="P50" s="6" t="inlineStr">
        <is>
          <t>재미있는 앱을 먼저 켠다</t>
        </is>
      </c>
      <c r="Q50" s="6" t="inlineStr">
        <is>
          <t>학습할 때 필요한 앱 중심으로 사용한다</t>
        </is>
      </c>
      <c r="R50" s="6" t="inlineStr">
        <is>
          <t>친구와 계속 메시지를 주고받는다</t>
        </is>
      </c>
      <c r="S50" s="7" t="n">
        <v>3</v>
      </c>
      <c r="T50" s="6" t="inlineStr">
        <is>
          <t>학습할 때 필요한 앱 중심으로 사용한다</t>
        </is>
      </c>
      <c r="U50" s="7" t="inlineStr">
        <is>
          <t>기기 사용 습관 기초 판단</t>
        </is>
      </c>
      <c r="V50" s="6" t="inlineStr">
        <is>
          <t>초6 1번 문항풀의 기기 사용 습관 영역 진단 문항입니다. 학생이 학습 상황에 맞게 기기를 사용하는지를 확인하는 데 활용합니다.</t>
        </is>
      </c>
      <c r="W50" s="7" t="inlineStr">
        <is>
          <t>3-4-1-2-3-4-1-2-3-4</t>
        </is>
      </c>
    </row>
    <row r="51">
      <c r="A51" s="2" t="inlineStr">
        <is>
          <t>E6-P1-10</t>
        </is>
      </c>
      <c r="B51" s="2" t="inlineStr">
        <is>
          <t>초등</t>
        </is>
      </c>
      <c r="C51" s="2" t="inlineStr">
        <is>
          <t>초6</t>
        </is>
      </c>
      <c r="D51" s="2" t="n">
        <v>1</v>
      </c>
      <c r="E51" s="2" t="n">
        <v>1</v>
      </c>
      <c r="F51" s="3" t="inlineStr">
        <is>
          <t>1번 문항풀(디지털 기초소양)</t>
        </is>
      </c>
      <c r="G51" s="2" t="n">
        <v>10</v>
      </c>
      <c r="H51" s="2" t="inlineStr">
        <is>
          <t>RESP</t>
        </is>
      </c>
      <c r="I51" s="3" t="inlineStr">
        <is>
          <t>책임감</t>
        </is>
      </c>
      <c r="J51" s="8" t="inlineStr">
        <is>
          <t>B</t>
        </is>
      </c>
      <c r="K51" s="2" t="inlineStr">
        <is>
          <t>N</t>
        </is>
      </c>
      <c r="L51" s="2" t="inlineStr"/>
      <c r="M51" s="2" t="inlineStr"/>
      <c r="N51" s="6" t="inlineStr">
        <is>
          <t>학교 공용 기기를 사용할 때 바른 행동은?</t>
        </is>
      </c>
      <c r="O51" s="6" t="inlineStr">
        <is>
          <t>마음대로 배경 화면을 바꾼다</t>
        </is>
      </c>
      <c r="P51" s="6" t="inlineStr">
        <is>
          <t>남의 계정으로 로그인한다</t>
        </is>
      </c>
      <c r="Q51" s="6" t="inlineStr">
        <is>
          <t>사진을 몰래 저장한다</t>
        </is>
      </c>
      <c r="R51" s="6" t="inlineStr">
        <is>
          <t>사용 후 원래 상태로 정리하고 로그아웃한다</t>
        </is>
      </c>
      <c r="S51" s="7" t="n">
        <v>4</v>
      </c>
      <c r="T51" s="6" t="inlineStr">
        <is>
          <t>사용 후 원래 상태로 정리하고 로그아웃한다</t>
        </is>
      </c>
      <c r="U51" s="7" t="inlineStr">
        <is>
          <t>책임감 기초 판단</t>
        </is>
      </c>
      <c r="V51" s="6" t="inlineStr">
        <is>
          <t>초6 1번 문항풀의 책임감 영역 진단 문항입니다. 학생이 학교·공동 환경에서 디지털 규칙을 지키는지를 확인하는 데 활용합니다.</t>
        </is>
      </c>
      <c r="W51" s="7" t="inlineStr">
        <is>
          <t>3-4-1-2-3-4-1-2-3-4</t>
        </is>
      </c>
    </row>
    <row r="52">
      <c r="A52" s="9" t="inlineStr">
        <is>
          <t>E6-P2-01</t>
        </is>
      </c>
      <c r="B52" s="9" t="inlineStr">
        <is>
          <t>초등</t>
        </is>
      </c>
      <c r="C52" s="9" t="inlineStr">
        <is>
          <t>초6</t>
        </is>
      </c>
      <c r="D52" s="9" t="n">
        <v>2</v>
      </c>
      <c r="E52" s="9" t="n">
        <v>2</v>
      </c>
      <c r="F52" s="10" t="inlineStr">
        <is>
          <t>2번 문항풀(AI 활용 기초)</t>
        </is>
      </c>
      <c r="G52" s="9" t="n">
        <v>1</v>
      </c>
      <c r="H52" s="9" t="inlineStr">
        <is>
          <t>AIU</t>
        </is>
      </c>
      <c r="I52" s="10" t="inlineStr">
        <is>
          <t>AI 이해</t>
        </is>
      </c>
      <c r="J52" s="4" t="inlineStr">
        <is>
          <t>A</t>
        </is>
      </c>
      <c r="K52" s="5" t="inlineStr">
        <is>
          <t>Y</t>
        </is>
      </c>
      <c r="L52" s="5" t="inlineStr">
        <is>
          <t>초6-P2-A1</t>
        </is>
      </c>
      <c r="M52" s="5" t="inlineStr">
        <is>
          <t>기초 기준문항</t>
        </is>
      </c>
      <c r="N52" s="6" t="inlineStr">
        <is>
          <t>AI가 결과를 만드는 방법에 대한 설명으로 가장 알맞은 것은?</t>
        </is>
      </c>
      <c r="O52" s="6" t="inlineStr">
        <is>
          <t>데이터를 보고 규칙을 배우기도 한다</t>
        </is>
      </c>
      <c r="P52" s="6" t="inlineStr">
        <is>
          <t>아무 근거 없이 마음대로 만든다</t>
        </is>
      </c>
      <c r="Q52" s="6" t="inlineStr">
        <is>
          <t>사람보다 먼저 모든 것을 안다</t>
        </is>
      </c>
      <c r="R52" s="6" t="inlineStr">
        <is>
          <t>인터넷이 없어도 늘 완벽하다</t>
        </is>
      </c>
      <c r="S52" s="7" t="n">
        <v>1</v>
      </c>
      <c r="T52" s="6" t="inlineStr">
        <is>
          <t>데이터를 보고 규칙을 배우기도 한다</t>
        </is>
      </c>
      <c r="U52" s="7" t="inlineStr">
        <is>
          <t>AI 이해 기초 판단</t>
        </is>
      </c>
      <c r="V52" s="6" t="inlineStr">
        <is>
          <t>초6 2번 문항풀의 AI 이해 영역 진단 문항입니다. 학생이 AI의 기본 원리와 한계를 구분하는지를 확인하는 데 활용합니다.</t>
        </is>
      </c>
      <c r="W52" s="7" t="inlineStr">
        <is>
          <t>1-3-2-4-1-3-2-4-1-3</t>
        </is>
      </c>
    </row>
    <row r="53">
      <c r="A53" s="9" t="inlineStr">
        <is>
          <t>E6-P2-02</t>
        </is>
      </c>
      <c r="B53" s="9" t="inlineStr">
        <is>
          <t>초등</t>
        </is>
      </c>
      <c r="C53" s="9" t="inlineStr">
        <is>
          <t>초6</t>
        </is>
      </c>
      <c r="D53" s="9" t="n">
        <v>2</v>
      </c>
      <c r="E53" s="9" t="n">
        <v>2</v>
      </c>
      <c r="F53" s="10" t="inlineStr">
        <is>
          <t>2번 문항풀(AI 활용 기초)</t>
        </is>
      </c>
      <c r="G53" s="9" t="n">
        <v>2</v>
      </c>
      <c r="H53" s="9" t="inlineStr">
        <is>
          <t>AIU</t>
        </is>
      </c>
      <c r="I53" s="10" t="inlineStr">
        <is>
          <t>AI 이해</t>
        </is>
      </c>
      <c r="J53" s="4" t="inlineStr">
        <is>
          <t>A</t>
        </is>
      </c>
      <c r="K53" s="9" t="inlineStr">
        <is>
          <t>N</t>
        </is>
      </c>
      <c r="L53" s="9" t="inlineStr"/>
      <c r="M53" s="9" t="inlineStr"/>
      <c r="N53" s="6" t="inlineStr">
        <is>
          <t>AI가 낸 답을 사용할 때 기억해야 할 점은?</t>
        </is>
      </c>
      <c r="O53" s="6" t="inlineStr">
        <is>
          <t>항상 맞으므로 확인할 필요가 없다</t>
        </is>
      </c>
      <c r="P53" s="6" t="inlineStr">
        <is>
          <t>짧으면 무조건 맞다</t>
        </is>
      </c>
      <c r="Q53" s="6" t="inlineStr">
        <is>
          <t>틀릴 수 있으므로 다시 살펴볼 필요가 있다</t>
        </is>
      </c>
      <c r="R53" s="6" t="inlineStr">
        <is>
          <t>긴 문장이면 무조건 맞다</t>
        </is>
      </c>
      <c r="S53" s="7" t="n">
        <v>3</v>
      </c>
      <c r="T53" s="6" t="inlineStr">
        <is>
          <t>틀릴 수 있으므로 다시 살펴볼 필요가 있다</t>
        </is>
      </c>
      <c r="U53" s="7" t="inlineStr">
        <is>
          <t>AI 이해 기초 판단</t>
        </is>
      </c>
      <c r="V53" s="6" t="inlineStr">
        <is>
          <t>초6 2번 문항풀의 AI 이해 영역 진단 문항입니다. 학생이 AI의 기본 원리와 한계를 구분하는지를 확인하는 데 활용합니다.</t>
        </is>
      </c>
      <c r="W53" s="7" t="inlineStr">
        <is>
          <t>1-3-2-4-1-3-2-4-1-3</t>
        </is>
      </c>
    </row>
    <row r="54">
      <c r="A54" s="9" t="inlineStr">
        <is>
          <t>E6-P2-03</t>
        </is>
      </c>
      <c r="B54" s="9" t="inlineStr">
        <is>
          <t>초등</t>
        </is>
      </c>
      <c r="C54" s="9" t="inlineStr">
        <is>
          <t>초6</t>
        </is>
      </c>
      <c r="D54" s="9" t="n">
        <v>2</v>
      </c>
      <c r="E54" s="9" t="n">
        <v>2</v>
      </c>
      <c r="F54" s="10" t="inlineStr">
        <is>
          <t>2번 문항풀(AI 활용 기초)</t>
        </is>
      </c>
      <c r="G54" s="9" t="n">
        <v>3</v>
      </c>
      <c r="H54" s="9" t="inlineStr">
        <is>
          <t>AIA</t>
        </is>
      </c>
      <c r="I54" s="10" t="inlineStr">
        <is>
          <t>AI 활용 태도</t>
        </is>
      </c>
      <c r="J54" s="8" t="inlineStr">
        <is>
          <t>B</t>
        </is>
      </c>
      <c r="K54" s="9" t="inlineStr">
        <is>
          <t>N</t>
        </is>
      </c>
      <c r="L54" s="9" t="inlineStr"/>
      <c r="M54" s="9" t="inlineStr"/>
      <c r="N54" s="6" t="inlineStr">
        <is>
          <t>AI가 만든 문장을 과제에 쓰려면 가장 먼저 해야 할 일은?</t>
        </is>
      </c>
      <c r="O54" s="6" t="inlineStr">
        <is>
          <t>내 생각 없이 그대로 붙여 넣는다</t>
        </is>
      </c>
      <c r="P54" s="6" t="inlineStr">
        <is>
          <t>맞는지 확인하고 내 말로 바꿔 본다</t>
        </is>
      </c>
      <c r="Q54" s="6" t="inlineStr">
        <is>
          <t>친구 이름을 넣어 제출한다</t>
        </is>
      </c>
      <c r="R54" s="6" t="inlineStr">
        <is>
          <t>검토하지 않고 파일만 저장한다</t>
        </is>
      </c>
      <c r="S54" s="7" t="n">
        <v>2</v>
      </c>
      <c r="T54" s="6" t="inlineStr">
        <is>
          <t>맞는지 확인하고 내 말로 바꿔 본다</t>
        </is>
      </c>
      <c r="U54" s="7" t="inlineStr">
        <is>
          <t>AI 활용 태도 기초 판단</t>
        </is>
      </c>
      <c r="V54" s="6" t="inlineStr">
        <is>
          <t>초6 2번 문항풀의 AI 활용 태도 영역 진단 문항입니다. 학생이 AI를 무비판적으로 사용하지 않고 검토하려는지를 확인하는 데 활용합니다.</t>
        </is>
      </c>
      <c r="W54" s="7" t="inlineStr">
        <is>
          <t>1-3-2-4-1-3-2-4-1-3</t>
        </is>
      </c>
    </row>
    <row r="55">
      <c r="A55" s="9" t="inlineStr">
        <is>
          <t>E6-P2-04</t>
        </is>
      </c>
      <c r="B55" s="9" t="inlineStr">
        <is>
          <t>초등</t>
        </is>
      </c>
      <c r="C55" s="9" t="inlineStr">
        <is>
          <t>초6</t>
        </is>
      </c>
      <c r="D55" s="9" t="n">
        <v>2</v>
      </c>
      <c r="E55" s="9" t="n">
        <v>2</v>
      </c>
      <c r="F55" s="10" t="inlineStr">
        <is>
          <t>2번 문항풀(AI 활용 기초)</t>
        </is>
      </c>
      <c r="G55" s="9" t="n">
        <v>4</v>
      </c>
      <c r="H55" s="9" t="inlineStr">
        <is>
          <t>DPS</t>
        </is>
      </c>
      <c r="I55" s="10" t="inlineStr">
        <is>
          <t>문제해결</t>
        </is>
      </c>
      <c r="J55" s="8" t="inlineStr">
        <is>
          <t>B</t>
        </is>
      </c>
      <c r="K55" s="9" t="inlineStr">
        <is>
          <t>N</t>
        </is>
      </c>
      <c r="L55" s="9" t="inlineStr"/>
      <c r="M55" s="9" t="inlineStr"/>
      <c r="N55" s="6" t="inlineStr">
        <is>
          <t>앱에 오류가 있을 때 바른 해결 순서는?</t>
        </is>
      </c>
      <c r="O55" s="6" t="inlineStr">
        <is>
          <t>포기하기 → 혼내기 → 삭제하기</t>
        </is>
      </c>
      <c r="P55" s="6" t="inlineStr">
        <is>
          <t>친구 탓하기 → 기다리기 → 끝내기</t>
        </is>
      </c>
      <c r="Q55" s="6" t="inlineStr">
        <is>
          <t>아무 버튼이나 누르기</t>
        </is>
      </c>
      <c r="R55" s="6" t="inlineStr">
        <is>
          <t>다시 보기 → 설정 확인 → 도움 요청하기</t>
        </is>
      </c>
      <c r="S55" s="7" t="n">
        <v>4</v>
      </c>
      <c r="T55" s="6" t="inlineStr">
        <is>
          <t>다시 보기 → 설정 확인 → 도움 요청하기</t>
        </is>
      </c>
      <c r="U55" s="7" t="inlineStr">
        <is>
          <t>문제해결 기초 판단</t>
        </is>
      </c>
      <c r="V55" s="6" t="inlineStr">
        <is>
          <t>초6 2번 문항풀의 문제해결 영역 진단 문항입니다. 학생이 디지털 문제를 단계적으로 해결하려는지를 확인하는 데 활용합니다.</t>
        </is>
      </c>
      <c r="W55" s="7" t="inlineStr">
        <is>
          <t>1-3-2-4-1-3-2-4-1-3</t>
        </is>
      </c>
    </row>
    <row r="56">
      <c r="A56" s="9" t="inlineStr">
        <is>
          <t>E6-P2-05</t>
        </is>
      </c>
      <c r="B56" s="9" t="inlineStr">
        <is>
          <t>초등</t>
        </is>
      </c>
      <c r="C56" s="9" t="inlineStr">
        <is>
          <t>초6</t>
        </is>
      </c>
      <c r="D56" s="9" t="n">
        <v>2</v>
      </c>
      <c r="E56" s="9" t="n">
        <v>2</v>
      </c>
      <c r="F56" s="10" t="inlineStr">
        <is>
          <t>2번 문항풀(AI 활용 기초)</t>
        </is>
      </c>
      <c r="G56" s="9" t="n">
        <v>5</v>
      </c>
      <c r="H56" s="9" t="inlineStr">
        <is>
          <t>AIC</t>
        </is>
      </c>
      <c r="I56" s="10" t="inlineStr">
        <is>
          <t>결과 검토</t>
        </is>
      </c>
      <c r="J56" s="8" t="inlineStr">
        <is>
          <t>B</t>
        </is>
      </c>
      <c r="K56" s="5" t="inlineStr">
        <is>
          <t>Y</t>
        </is>
      </c>
      <c r="L56" s="5" t="inlineStr">
        <is>
          <t>초6-P2-A2</t>
        </is>
      </c>
      <c r="M56" s="5" t="inlineStr">
        <is>
          <t>비판적 판단 기준문항</t>
        </is>
      </c>
      <c r="N56" s="6" t="inlineStr">
        <is>
          <t>AI 결과와 내가 아는 내용이 다르면 어떻게 하는 것이 가장 좋을까?</t>
        </is>
      </c>
      <c r="O56" s="6" t="inlineStr">
        <is>
          <t>교과서나 믿을 만한 자료로 확인한다</t>
        </is>
      </c>
      <c r="P56" s="6" t="inlineStr">
        <is>
          <t>AI가 더 똑똑하니 그대로 믿는다</t>
        </is>
      </c>
      <c r="Q56" s="6" t="inlineStr">
        <is>
          <t>둘 다 틀렸다고 생각한다</t>
        </is>
      </c>
      <c r="R56" s="6" t="inlineStr">
        <is>
          <t>바로 삭제하고 끝낸다</t>
        </is>
      </c>
      <c r="S56" s="7" t="n">
        <v>1</v>
      </c>
      <c r="T56" s="6" t="inlineStr">
        <is>
          <t>교과서나 믿을 만한 자료로 확인한다</t>
        </is>
      </c>
      <c r="U56" s="7" t="inlineStr">
        <is>
          <t>결과 검토 기초 판단</t>
        </is>
      </c>
      <c r="V56" s="6" t="inlineStr">
        <is>
          <t>초6 2번 문항풀의 결과 검토 영역 진단 문항입니다. 학생이 AI·디지털 결과물을 근거 중심으로 다시 확인하는지를 확인하는 데 활용합니다.</t>
        </is>
      </c>
      <c r="W56" s="7" t="inlineStr">
        <is>
          <t>1-3-2-4-1-3-2-4-1-3</t>
        </is>
      </c>
    </row>
    <row r="57">
      <c r="A57" s="9" t="inlineStr">
        <is>
          <t>E6-P2-06</t>
        </is>
      </c>
      <c r="B57" s="9" t="inlineStr">
        <is>
          <t>초등</t>
        </is>
      </c>
      <c r="C57" s="9" t="inlineStr">
        <is>
          <t>초6</t>
        </is>
      </c>
      <c r="D57" s="9" t="n">
        <v>2</v>
      </c>
      <c r="E57" s="9" t="n">
        <v>2</v>
      </c>
      <c r="F57" s="10" t="inlineStr">
        <is>
          <t>2번 문항풀(AI 활용 기초)</t>
        </is>
      </c>
      <c r="G57" s="9" t="n">
        <v>6</v>
      </c>
      <c r="H57" s="9" t="inlineStr">
        <is>
          <t>AIE</t>
        </is>
      </c>
      <c r="I57" s="10" t="inlineStr">
        <is>
          <t>책임 있는 활용</t>
        </is>
      </c>
      <c r="J57" s="8" t="inlineStr">
        <is>
          <t>B</t>
        </is>
      </c>
      <c r="K57" s="9" t="inlineStr">
        <is>
          <t>N</t>
        </is>
      </c>
      <c r="L57" s="9" t="inlineStr"/>
      <c r="M57" s="9" t="inlineStr"/>
      <c r="N57" s="6" t="inlineStr">
        <is>
          <t>AI를 사용할 때 하면 안 되는 행동은?</t>
        </is>
      </c>
      <c r="O57" s="6" t="inlineStr">
        <is>
          <t>필요한 정보를 찾아보는 것</t>
        </is>
      </c>
      <c r="P57" s="6" t="inlineStr">
        <is>
          <t>결과를 다시 확인하는 것</t>
        </is>
      </c>
      <c r="Q57" s="6" t="inlineStr">
        <is>
          <t>친구를 속이기 위해 가짜 이미지를 만드는 것</t>
        </is>
      </c>
      <c r="R57" s="6" t="inlineStr">
        <is>
          <t>수업에 맞게 활용하는 것</t>
        </is>
      </c>
      <c r="S57" s="7" t="n">
        <v>3</v>
      </c>
      <c r="T57" s="6" t="inlineStr">
        <is>
          <t>친구를 속이기 위해 가짜 이미지를 만드는 것</t>
        </is>
      </c>
      <c r="U57" s="7" t="inlineStr">
        <is>
          <t>책임 있는 활용 기초 판단</t>
        </is>
      </c>
      <c r="V57" s="6" t="inlineStr">
        <is>
          <t>초6 2번 문항풀의 책임 있는 활용 영역 진단 문항입니다. 학생이 AI·디지털 도구를 타인에게 해를 주지 않게 사용하는지를 확인하는 데 활용합니다.</t>
        </is>
      </c>
      <c r="W57" s="7" t="inlineStr">
        <is>
          <t>1-3-2-4-1-3-2-4-1-3</t>
        </is>
      </c>
    </row>
    <row r="58">
      <c r="A58" s="9" t="inlineStr">
        <is>
          <t>E6-P2-07</t>
        </is>
      </c>
      <c r="B58" s="9" t="inlineStr">
        <is>
          <t>초등</t>
        </is>
      </c>
      <c r="C58" s="9" t="inlineStr">
        <is>
          <t>초6</t>
        </is>
      </c>
      <c r="D58" s="9" t="n">
        <v>2</v>
      </c>
      <c r="E58" s="9" t="n">
        <v>2</v>
      </c>
      <c r="F58" s="10" t="inlineStr">
        <is>
          <t>2번 문항풀(AI 활용 기초)</t>
        </is>
      </c>
      <c r="G58" s="9" t="n">
        <v>7</v>
      </c>
      <c r="H58" s="9" t="inlineStr">
        <is>
          <t>COL</t>
        </is>
      </c>
      <c r="I58" s="10" t="inlineStr">
        <is>
          <t>협업 태도</t>
        </is>
      </c>
      <c r="J58" s="4" t="inlineStr">
        <is>
          <t>A</t>
        </is>
      </c>
      <c r="K58" s="9" t="inlineStr">
        <is>
          <t>N</t>
        </is>
      </c>
      <c r="L58" s="9" t="inlineStr"/>
      <c r="M58" s="9" t="inlineStr"/>
      <c r="N58" s="6" t="inlineStr">
        <is>
          <t>디지털 도구로 조별 과제를 할 때 가장 좋은 태도는?</t>
        </is>
      </c>
      <c r="O58" s="6" t="inlineStr">
        <is>
          <t>한 명에게만 맡긴다</t>
        </is>
      </c>
      <c r="P58" s="6" t="inlineStr">
        <is>
          <t>역할을 나누고 서로 확인한다</t>
        </is>
      </c>
      <c r="Q58" s="6" t="inlineStr">
        <is>
          <t>다른 조 자료를 몰래 복사한다</t>
        </is>
      </c>
      <c r="R58" s="6" t="inlineStr">
        <is>
          <t>친구가 한 것을 지운다</t>
        </is>
      </c>
      <c r="S58" s="7" t="n">
        <v>2</v>
      </c>
      <c r="T58" s="6" t="inlineStr">
        <is>
          <t>역할을 나누고 서로 확인한다</t>
        </is>
      </c>
      <c r="U58" s="7" t="inlineStr">
        <is>
          <t>협업 태도 기초 판단</t>
        </is>
      </c>
      <c r="V58" s="6" t="inlineStr">
        <is>
          <t>초6 2번 문항풀의 협업 태도 영역 진단 문항입니다. 학생이 디지털 환경에서 역할을 나누고 협력하는지를 확인하는 데 활용합니다.</t>
        </is>
      </c>
      <c r="W58" s="7" t="inlineStr">
        <is>
          <t>1-3-2-4-1-3-2-4-1-3</t>
        </is>
      </c>
    </row>
    <row r="59">
      <c r="A59" s="9" t="inlineStr">
        <is>
          <t>E6-P2-08</t>
        </is>
      </c>
      <c r="B59" s="9" t="inlineStr">
        <is>
          <t>초등</t>
        </is>
      </c>
      <c r="C59" s="9" t="inlineStr">
        <is>
          <t>초6</t>
        </is>
      </c>
      <c r="D59" s="9" t="n">
        <v>2</v>
      </c>
      <c r="E59" s="9" t="n">
        <v>2</v>
      </c>
      <c r="F59" s="10" t="inlineStr">
        <is>
          <t>2번 문항풀(AI 활용 기초)</t>
        </is>
      </c>
      <c r="G59" s="9" t="n">
        <v>8</v>
      </c>
      <c r="H59" s="9" t="inlineStr">
        <is>
          <t>SELF</t>
        </is>
      </c>
      <c r="I59" s="10" t="inlineStr">
        <is>
          <t>자기주도성</t>
        </is>
      </c>
      <c r="J59" s="4" t="inlineStr">
        <is>
          <t>A</t>
        </is>
      </c>
      <c r="K59" s="9" t="inlineStr">
        <is>
          <t>N</t>
        </is>
      </c>
      <c r="L59" s="9" t="inlineStr"/>
      <c r="M59" s="9" t="inlineStr"/>
      <c r="N59" s="6" t="inlineStr">
        <is>
          <t>새 기능을 배우는 상황에서 가장 좋은 태도는?</t>
        </is>
      </c>
      <c r="O59" s="6" t="inlineStr">
        <is>
          <t>안 해 보고 못 한다고 말한다</t>
        </is>
      </c>
      <c r="P59" s="6" t="inlineStr">
        <is>
          <t>친구가 대신 하게 한다</t>
        </is>
      </c>
      <c r="Q59" s="6" t="inlineStr">
        <is>
          <t>실수할까 봐 건드리지 않는다</t>
        </is>
      </c>
      <c r="R59" s="6" t="inlineStr">
        <is>
          <t>도움말을 읽고 직접 시도해 본다</t>
        </is>
      </c>
      <c r="S59" s="7" t="n">
        <v>4</v>
      </c>
      <c r="T59" s="6" t="inlineStr">
        <is>
          <t>도움말을 읽고 직접 시도해 본다</t>
        </is>
      </c>
      <c r="U59" s="7" t="inlineStr">
        <is>
          <t>자기주도성 기초 판단</t>
        </is>
      </c>
      <c r="V59" s="6" t="inlineStr">
        <is>
          <t>초6 2번 문항풀의 자기주도성 영역 진단 문항입니다. 학생이 새로운 디지털 도구를 스스로 시도하고 학습하려는지를 확인하는 데 활용합니다.</t>
        </is>
      </c>
      <c r="W59" s="7" t="inlineStr">
        <is>
          <t>1-3-2-4-1-3-2-4-1-3</t>
        </is>
      </c>
    </row>
    <row r="60">
      <c r="A60" s="9" t="inlineStr">
        <is>
          <t>E6-P2-09</t>
        </is>
      </c>
      <c r="B60" s="9" t="inlineStr">
        <is>
          <t>초등</t>
        </is>
      </c>
      <c r="C60" s="9" t="inlineStr">
        <is>
          <t>초6</t>
        </is>
      </c>
      <c r="D60" s="9" t="n">
        <v>2</v>
      </c>
      <c r="E60" s="9" t="n">
        <v>2</v>
      </c>
      <c r="F60" s="10" t="inlineStr">
        <is>
          <t>2번 문항풀(AI 활용 기초)</t>
        </is>
      </c>
      <c r="G60" s="9" t="n">
        <v>9</v>
      </c>
      <c r="H60" s="9" t="inlineStr">
        <is>
          <t>DATA</t>
        </is>
      </c>
      <c r="I60" s="10" t="inlineStr">
        <is>
          <t>데이터 이해</t>
        </is>
      </c>
      <c r="J60" s="8" t="inlineStr">
        <is>
          <t>B</t>
        </is>
      </c>
      <c r="K60" s="9" t="inlineStr">
        <is>
          <t>N</t>
        </is>
      </c>
      <c r="L60" s="9" t="inlineStr"/>
      <c r="M60" s="9" t="inlineStr"/>
      <c r="N60" s="6" t="inlineStr">
        <is>
          <t>AI가 다른 결과를 내는 이유로 알맞은 것은?</t>
        </is>
      </c>
      <c r="O60" s="6" t="inlineStr">
        <is>
          <t>사용한 데이터가 다를 수 있어서</t>
        </is>
      </c>
      <c r="P60" s="6" t="inlineStr">
        <is>
          <t>배경화면이 달라서</t>
        </is>
      </c>
      <c r="Q60" s="6" t="inlineStr">
        <is>
          <t>자리 번호가 달라서</t>
        </is>
      </c>
      <c r="R60" s="6" t="inlineStr">
        <is>
          <t>펜 색깔이 달라서</t>
        </is>
      </c>
      <c r="S60" s="7" t="n">
        <v>1</v>
      </c>
      <c r="T60" s="6" t="inlineStr">
        <is>
          <t>사용한 데이터가 다를 수 있어서</t>
        </is>
      </c>
      <c r="U60" s="7" t="inlineStr">
        <is>
          <t>데이터 이해 기초 판단</t>
        </is>
      </c>
      <c r="V60" s="6" t="inlineStr">
        <is>
          <t>초6 2번 문항풀의 데이터 이해 영역 진단 문항입니다. 학생이 데이터가 결과에 영향을 준다는 점을 이해하는지를 확인하는 데 활용합니다.</t>
        </is>
      </c>
      <c r="W60" s="7" t="inlineStr">
        <is>
          <t>1-3-2-4-1-3-2-4-1-3</t>
        </is>
      </c>
    </row>
    <row r="61">
      <c r="A61" s="9" t="inlineStr">
        <is>
          <t>E6-P2-10</t>
        </is>
      </c>
      <c r="B61" s="9" t="inlineStr">
        <is>
          <t>초등</t>
        </is>
      </c>
      <c r="C61" s="9" t="inlineStr">
        <is>
          <t>초6</t>
        </is>
      </c>
      <c r="D61" s="9" t="n">
        <v>2</v>
      </c>
      <c r="E61" s="9" t="n">
        <v>2</v>
      </c>
      <c r="F61" s="10" t="inlineStr">
        <is>
          <t>2번 문항풀(AI 활용 기초)</t>
        </is>
      </c>
      <c r="G61" s="9" t="n">
        <v>10</v>
      </c>
      <c r="H61" s="9" t="inlineStr">
        <is>
          <t>CARE</t>
        </is>
      </c>
      <c r="I61" s="10" t="inlineStr">
        <is>
          <t>진로 인식</t>
        </is>
      </c>
      <c r="J61" s="8" t="inlineStr">
        <is>
          <t>B</t>
        </is>
      </c>
      <c r="K61" s="9" t="inlineStr">
        <is>
          <t>N</t>
        </is>
      </c>
      <c r="L61" s="9" t="inlineStr"/>
      <c r="M61" s="9" t="inlineStr"/>
      <c r="N61" s="6" t="inlineStr">
        <is>
          <t>디지털 역량이 중요한 이유로 가장 알맞은 것은?</t>
        </is>
      </c>
      <c r="O61" s="6" t="inlineStr">
        <is>
          <t>학교에서만 잠깐 쓰기 때문에</t>
        </is>
      </c>
      <c r="P61" s="6" t="inlineStr">
        <is>
          <t>어른만 필요해서</t>
        </is>
      </c>
      <c r="Q61" s="6" t="inlineStr">
        <is>
          <t>앞으로 중학교 이후 학습과 생활에도 도움이 되기 때문에</t>
        </is>
      </c>
      <c r="R61" s="6" t="inlineStr">
        <is>
          <t>컴퓨터를 잘하는 일부 사람만 쓰기 때문에</t>
        </is>
      </c>
      <c r="S61" s="7" t="n">
        <v>3</v>
      </c>
      <c r="T61" s="6" t="inlineStr">
        <is>
          <t>앞으로 중학교 이후 학습과 생활에도 도움이 되기 때문에</t>
        </is>
      </c>
      <c r="U61" s="7" t="inlineStr">
        <is>
          <t>진로 인식 기초 판단</t>
        </is>
      </c>
      <c r="V61" s="6" t="inlineStr">
        <is>
          <t>초6 2번 문항풀의 진로 인식 영역 진단 문항입니다. 학생이 디지털 역량과 진로의 연결성을 인식하는지를 확인하는 데 활용합니다.</t>
        </is>
      </c>
      <c r="W61" s="7" t="inlineStr">
        <is>
          <t>1-3-2-4-1-3-2-4-1-3</t>
        </is>
      </c>
    </row>
    <row r="62">
      <c r="A62" s="2" t="inlineStr">
        <is>
          <t>M1-P1-01</t>
        </is>
      </c>
      <c r="B62" s="2" t="inlineStr">
        <is>
          <t>중등</t>
        </is>
      </c>
      <c r="C62" s="2" t="inlineStr">
        <is>
          <t>중1</t>
        </is>
      </c>
      <c r="D62" s="2" t="n">
        <v>1</v>
      </c>
      <c r="E62" s="2" t="n">
        <v>1</v>
      </c>
      <c r="F62" s="3" t="inlineStr">
        <is>
          <t>1번 문항풀(디지털 기초소양)</t>
        </is>
      </c>
      <c r="G62" s="2" t="n">
        <v>1</v>
      </c>
      <c r="H62" s="2" t="inlineStr">
        <is>
          <t>PRIV</t>
        </is>
      </c>
      <c r="I62" s="3" t="inlineStr">
        <is>
          <t>개인정보 보호</t>
        </is>
      </c>
      <c r="J62" s="4" t="inlineStr">
        <is>
          <t>A</t>
        </is>
      </c>
      <c r="K62" s="5" t="inlineStr">
        <is>
          <t>Y</t>
        </is>
      </c>
      <c r="L62" s="5" t="inlineStr">
        <is>
          <t>중1-P1-A1</t>
        </is>
      </c>
      <c r="M62" s="5" t="inlineStr">
        <is>
          <t>기초 기준문항</t>
        </is>
      </c>
      <c r="N62" s="6" t="inlineStr">
        <is>
          <t>앱을 설치할 때 필요한 권한보다 더 많은 개인정보 접근을 요구한다면 가장 알맞은 행동은?</t>
        </is>
      </c>
      <c r="O62" s="6" t="inlineStr">
        <is>
          <t>일단 설치하고 나중에 생각한다</t>
        </is>
      </c>
      <c r="P62" s="6" t="inlineStr">
        <is>
          <t>친구 계정으로 설치한다</t>
        </is>
      </c>
      <c r="Q62" s="6" t="inlineStr">
        <is>
          <t>모두 허용해야만 한다고 생각한다</t>
        </is>
      </c>
      <c r="R62" s="6" t="inlineStr">
        <is>
          <t>필요한 권한인지 확인하고 신중히 선택한다</t>
        </is>
      </c>
      <c r="S62" s="7" t="n">
        <v>4</v>
      </c>
      <c r="T62" s="6" t="inlineStr">
        <is>
          <t>필요한 권한인지 확인하고 신중히 선택한다</t>
        </is>
      </c>
      <c r="U62" s="7" t="inlineStr">
        <is>
          <t>개인정보 보호 기초 판단</t>
        </is>
      </c>
      <c r="V62" s="6" t="inlineStr">
        <is>
          <t>중1 1번 문항풀의 개인정보 보호 영역 진단 문항입니다. 학생이 개인정보 노출 위험을 인식하고 안전한 대응을 선택하는지를 확인하는 데 활용합니다.</t>
        </is>
      </c>
      <c r="W62" s="7" t="inlineStr">
        <is>
          <t>4-1-2-3-4-1-2-3-4-1</t>
        </is>
      </c>
    </row>
    <row r="63">
      <c r="A63" s="2" t="inlineStr">
        <is>
          <t>M1-P1-02</t>
        </is>
      </c>
      <c r="B63" s="2" t="inlineStr">
        <is>
          <t>중등</t>
        </is>
      </c>
      <c r="C63" s="2" t="inlineStr">
        <is>
          <t>중1</t>
        </is>
      </c>
      <c r="D63" s="2" t="n">
        <v>1</v>
      </c>
      <c r="E63" s="2" t="n">
        <v>1</v>
      </c>
      <c r="F63" s="3" t="inlineStr">
        <is>
          <t>1번 문항풀(디지털 기초소양)</t>
        </is>
      </c>
      <c r="G63" s="2" t="n">
        <v>2</v>
      </c>
      <c r="H63" s="2" t="inlineStr">
        <is>
          <t>SAFE_ACC</t>
        </is>
      </c>
      <c r="I63" s="3" t="inlineStr">
        <is>
          <t>계정 안전</t>
        </is>
      </c>
      <c r="J63" s="4" t="inlineStr">
        <is>
          <t>A</t>
        </is>
      </c>
      <c r="K63" s="2" t="inlineStr">
        <is>
          <t>N</t>
        </is>
      </c>
      <c r="L63" s="2" t="inlineStr"/>
      <c r="M63" s="2" t="inlineStr"/>
      <c r="N63" s="6" t="inlineStr">
        <is>
          <t>여러 사이트에서 같은 비밀번호를 쓰면 생길 수 있는 문제로 가장 알맞은 것은?</t>
        </is>
      </c>
      <c r="O63" s="6" t="inlineStr">
        <is>
          <t>하나가 유출되면 다른 계정도 위험해질 수 있다</t>
        </is>
      </c>
      <c r="P63" s="6" t="inlineStr">
        <is>
          <t>로그인이 빨라진다</t>
        </is>
      </c>
      <c r="Q63" s="6" t="inlineStr">
        <is>
          <t>사진이 더 잘 올라간다</t>
        </is>
      </c>
      <c r="R63" s="6" t="inlineStr">
        <is>
          <t>데이터 사용량이 줄어든다</t>
        </is>
      </c>
      <c r="S63" s="7" t="n">
        <v>1</v>
      </c>
      <c r="T63" s="6" t="inlineStr">
        <is>
          <t>하나가 유출되면 다른 계정도 위험해질 수 있다</t>
        </is>
      </c>
      <c r="U63" s="7" t="inlineStr">
        <is>
          <t>계정 안전 기초 판단</t>
        </is>
      </c>
      <c r="V63" s="6" t="inlineStr">
        <is>
          <t>중1 1번 문항풀의 계정 안전 영역 진단 문항입니다. 학생이 계정 보안의 기본 원칙을 이해하고 실천하려는지를 확인하는 데 활용합니다.</t>
        </is>
      </c>
      <c r="W63" s="7" t="inlineStr">
        <is>
          <t>4-1-2-3-4-1-2-3-4-1</t>
        </is>
      </c>
    </row>
    <row r="64">
      <c r="A64" s="2" t="inlineStr">
        <is>
          <t>M1-P1-03</t>
        </is>
      </c>
      <c r="B64" s="2" t="inlineStr">
        <is>
          <t>중등</t>
        </is>
      </c>
      <c r="C64" s="2" t="inlineStr">
        <is>
          <t>중1</t>
        </is>
      </c>
      <c r="D64" s="2" t="n">
        <v>1</v>
      </c>
      <c r="E64" s="2" t="n">
        <v>1</v>
      </c>
      <c r="F64" s="3" t="inlineStr">
        <is>
          <t>1번 문항풀(디지털 기초소양)</t>
        </is>
      </c>
      <c r="G64" s="2" t="n">
        <v>3</v>
      </c>
      <c r="H64" s="2" t="inlineStr">
        <is>
          <t>NET_CIT</t>
        </is>
      </c>
      <c r="I64" s="3" t="inlineStr">
        <is>
          <t>디지털 시민성</t>
        </is>
      </c>
      <c r="J64" s="8" t="inlineStr">
        <is>
          <t>B</t>
        </is>
      </c>
      <c r="K64" s="2" t="inlineStr">
        <is>
          <t>N</t>
        </is>
      </c>
      <c r="L64" s="2" t="inlineStr"/>
      <c r="M64" s="2" t="inlineStr"/>
      <c r="N64" s="6" t="inlineStr">
        <is>
          <t>단체 채팅방에서 특정 친구를 놀리는 메시지가 이어질 때 가장 바른 태도는?</t>
        </is>
      </c>
      <c r="O64" s="6" t="inlineStr">
        <is>
          <t>재미로 한두 마디 더 보낸다</t>
        </is>
      </c>
      <c r="P64" s="6" t="inlineStr">
        <is>
          <t>참여하지 않고 멈추도록 하거나 도움을 요청한다</t>
        </is>
      </c>
      <c r="Q64" s="6" t="inlineStr">
        <is>
          <t>읽기만 했으니 괜찮다고 생각한다</t>
        </is>
      </c>
      <c r="R64" s="6" t="inlineStr">
        <is>
          <t>캡처해서 다른 방에 퍼뜨린다</t>
        </is>
      </c>
      <c r="S64" s="7" t="n">
        <v>2</v>
      </c>
      <c r="T64" s="6" t="inlineStr">
        <is>
          <t>참여하지 않고 멈추도록 하거나 도움을 요청한다</t>
        </is>
      </c>
      <c r="U64" s="7" t="inlineStr">
        <is>
          <t>디지털 시민성 기초 판단</t>
        </is>
      </c>
      <c r="V64" s="6" t="inlineStr">
        <is>
          <t>중1 1번 문항풀의 디지털 시민성 영역 진단 문항입니다. 학생이 온라인에서 타인을 배려하고 책임 있게 행동하는지를 확인하는 데 활용합니다.</t>
        </is>
      </c>
      <c r="W64" s="7" t="inlineStr">
        <is>
          <t>4-1-2-3-4-1-2-3-4-1</t>
        </is>
      </c>
    </row>
    <row r="65">
      <c r="A65" s="2" t="inlineStr">
        <is>
          <t>M1-P1-04</t>
        </is>
      </c>
      <c r="B65" s="2" t="inlineStr">
        <is>
          <t>중등</t>
        </is>
      </c>
      <c r="C65" s="2" t="inlineStr">
        <is>
          <t>중1</t>
        </is>
      </c>
      <c r="D65" s="2" t="n">
        <v>1</v>
      </c>
      <c r="E65" s="2" t="n">
        <v>1</v>
      </c>
      <c r="F65" s="3" t="inlineStr">
        <is>
          <t>1번 문항풀(디지털 기초소양)</t>
        </is>
      </c>
      <c r="G65" s="2" t="n">
        <v>4</v>
      </c>
      <c r="H65" s="2" t="inlineStr">
        <is>
          <t>NET_CIT</t>
        </is>
      </c>
      <c r="I65" s="3" t="inlineStr">
        <is>
          <t>디지털 시민성</t>
        </is>
      </c>
      <c r="J65" s="8" t="inlineStr">
        <is>
          <t>B</t>
        </is>
      </c>
      <c r="K65" s="2" t="inlineStr">
        <is>
          <t>N</t>
        </is>
      </c>
      <c r="L65" s="2" t="inlineStr"/>
      <c r="M65" s="2" t="inlineStr"/>
      <c r="N65" s="6" t="inlineStr">
        <is>
          <t>온라인 장난도 폭력이 될 수 있는 이유로 가장 알맞은 것은?</t>
        </is>
      </c>
      <c r="O65" s="6" t="inlineStr">
        <is>
          <t>인터넷은 속도가 빨라서</t>
        </is>
      </c>
      <c r="P65" s="6" t="inlineStr">
        <is>
          <t>채팅은 기록이 남지 않아서</t>
        </is>
      </c>
      <c r="Q65" s="6" t="inlineStr">
        <is>
          <t>상대방이 실제로 상처를 받을 수 있어서</t>
        </is>
      </c>
      <c r="R65" s="6" t="inlineStr">
        <is>
          <t>친구끼리는 모두 괜찮아서</t>
        </is>
      </c>
      <c r="S65" s="7" t="n">
        <v>3</v>
      </c>
      <c r="T65" s="6" t="inlineStr">
        <is>
          <t>상대방이 실제로 상처를 받을 수 있어서</t>
        </is>
      </c>
      <c r="U65" s="7" t="inlineStr">
        <is>
          <t>디지털 시민성 기초 판단</t>
        </is>
      </c>
      <c r="V65" s="6" t="inlineStr">
        <is>
          <t>중1 1번 문항풀의 디지털 시민성 영역 진단 문항입니다. 학생이 온라인에서 타인을 배려하고 책임 있게 행동하는지를 확인하는 데 활용합니다.</t>
        </is>
      </c>
      <c r="W65" s="7" t="inlineStr">
        <is>
          <t>4-1-2-3-4-1-2-3-4-1</t>
        </is>
      </c>
    </row>
    <row r="66">
      <c r="A66" s="2" t="inlineStr">
        <is>
          <t>M1-P1-05</t>
        </is>
      </c>
      <c r="B66" s="2" t="inlineStr">
        <is>
          <t>중등</t>
        </is>
      </c>
      <c r="C66" s="2" t="inlineStr">
        <is>
          <t>중1</t>
        </is>
      </c>
      <c r="D66" s="2" t="n">
        <v>1</v>
      </c>
      <c r="E66" s="2" t="n">
        <v>1</v>
      </c>
      <c r="F66" s="3" t="inlineStr">
        <is>
          <t>1번 문항풀(디지털 기초소양)</t>
        </is>
      </c>
      <c r="G66" s="2" t="n">
        <v>5</v>
      </c>
      <c r="H66" s="2" t="inlineStr">
        <is>
          <t>INFO</t>
        </is>
      </c>
      <c r="I66" s="3" t="inlineStr">
        <is>
          <t>정보 신뢰성</t>
        </is>
      </c>
      <c r="J66" s="8" t="inlineStr">
        <is>
          <t>B</t>
        </is>
      </c>
      <c r="K66" s="5" t="inlineStr">
        <is>
          <t>Y</t>
        </is>
      </c>
      <c r="L66" s="5" t="inlineStr">
        <is>
          <t>중1-P1-A2</t>
        </is>
      </c>
      <c r="M66" s="5" t="inlineStr">
        <is>
          <t>비판적 판단 기준문항</t>
        </is>
      </c>
      <c r="N66" s="6" t="inlineStr">
        <is>
          <t>검색한 정보를 과제에 사용할 때 가장 좋은 방법은?</t>
        </is>
      </c>
      <c r="O66" s="6" t="inlineStr">
        <is>
          <t>첫 번째 결과만 사용한다</t>
        </is>
      </c>
      <c r="P66" s="6" t="inlineStr">
        <is>
          <t>친구가 보내 준 캡처만 쓴다</t>
        </is>
      </c>
      <c r="Q66" s="6" t="inlineStr">
        <is>
          <t>댓글이 많으면 그대로 쓴다</t>
        </is>
      </c>
      <c r="R66" s="6" t="inlineStr">
        <is>
          <t>두 곳 이상을 비교하고 출처를 본다</t>
        </is>
      </c>
      <c r="S66" s="7" t="n">
        <v>4</v>
      </c>
      <c r="T66" s="6" t="inlineStr">
        <is>
          <t>두 곳 이상을 비교하고 출처를 본다</t>
        </is>
      </c>
      <c r="U66" s="7" t="inlineStr">
        <is>
          <t>정보 신뢰성 기초 판단</t>
        </is>
      </c>
      <c r="V66" s="6" t="inlineStr">
        <is>
          <t>중1 1번 문항풀의 정보 신뢰성 영역 진단 문항입니다. 학생이 온라인 정보의 출처와 신뢰도를 판단하는지를 확인하는 데 활용합니다.</t>
        </is>
      </c>
      <c r="W66" s="7" t="inlineStr">
        <is>
          <t>4-1-2-3-4-1-2-3-4-1</t>
        </is>
      </c>
    </row>
    <row r="67">
      <c r="A67" s="2" t="inlineStr">
        <is>
          <t>M1-P1-06</t>
        </is>
      </c>
      <c r="B67" s="2" t="inlineStr">
        <is>
          <t>중등</t>
        </is>
      </c>
      <c r="C67" s="2" t="inlineStr">
        <is>
          <t>중1</t>
        </is>
      </c>
      <c r="D67" s="2" t="n">
        <v>1</v>
      </c>
      <c r="E67" s="2" t="n">
        <v>1</v>
      </c>
      <c r="F67" s="3" t="inlineStr">
        <is>
          <t>1번 문항풀(디지털 기초소양)</t>
        </is>
      </c>
      <c r="G67" s="2" t="n">
        <v>6</v>
      </c>
      <c r="H67" s="2" t="inlineStr">
        <is>
          <t>INFO</t>
        </is>
      </c>
      <c r="I67" s="3" t="inlineStr">
        <is>
          <t>정보 신뢰성</t>
        </is>
      </c>
      <c r="J67" s="8" t="inlineStr">
        <is>
          <t>B</t>
        </is>
      </c>
      <c r="K67" s="2" t="inlineStr">
        <is>
          <t>N</t>
        </is>
      </c>
      <c r="L67" s="2" t="inlineStr"/>
      <c r="M67" s="2" t="inlineStr"/>
      <c r="N67" s="6" t="inlineStr">
        <is>
          <t>짧은 영상이나 캡처 이미지가 사실인지 확인하는 방법으로 가장 알맞은 것은?</t>
        </is>
      </c>
      <c r="O67" s="6" t="inlineStr">
        <is>
          <t>출처와 다른 자료를 함께 확인한다</t>
        </is>
      </c>
      <c r="P67" s="6" t="inlineStr">
        <is>
          <t>조회 수가 높으면 사실이다</t>
        </is>
      </c>
      <c r="Q67" s="6" t="inlineStr">
        <is>
          <t>친구가 믿으면 사실이다</t>
        </is>
      </c>
      <c r="R67" s="6" t="inlineStr">
        <is>
          <t>재미있으면 사실이 아니어도 괜찮다</t>
        </is>
      </c>
      <c r="S67" s="7" t="n">
        <v>1</v>
      </c>
      <c r="T67" s="6" t="inlineStr">
        <is>
          <t>출처와 다른 자료를 함께 확인한다</t>
        </is>
      </c>
      <c r="U67" s="7" t="inlineStr">
        <is>
          <t>정보 신뢰성 기초 판단</t>
        </is>
      </c>
      <c r="V67" s="6" t="inlineStr">
        <is>
          <t>중1 1번 문항풀의 정보 신뢰성 영역 진단 문항입니다. 학생이 온라인 정보의 출처와 신뢰도를 판단하는지를 확인하는 데 활용합니다.</t>
        </is>
      </c>
      <c r="W67" s="7" t="inlineStr">
        <is>
          <t>4-1-2-3-4-1-2-3-4-1</t>
        </is>
      </c>
    </row>
    <row r="68">
      <c r="A68" s="2" t="inlineStr">
        <is>
          <t>M1-P1-07</t>
        </is>
      </c>
      <c r="B68" s="2" t="inlineStr">
        <is>
          <t>중등</t>
        </is>
      </c>
      <c r="C68" s="2" t="inlineStr">
        <is>
          <t>중1</t>
        </is>
      </c>
      <c r="D68" s="2" t="n">
        <v>1</v>
      </c>
      <c r="E68" s="2" t="n">
        <v>1</v>
      </c>
      <c r="F68" s="3" t="inlineStr">
        <is>
          <t>1번 문항풀(디지털 기초소양)</t>
        </is>
      </c>
      <c r="G68" s="2" t="n">
        <v>7</v>
      </c>
      <c r="H68" s="2" t="inlineStr">
        <is>
          <t>SAFE</t>
        </is>
      </c>
      <c r="I68" s="3" t="inlineStr">
        <is>
          <t>디지털 안전</t>
        </is>
      </c>
      <c r="J68" s="4" t="inlineStr">
        <is>
          <t>A</t>
        </is>
      </c>
      <c r="K68" s="2" t="inlineStr">
        <is>
          <t>N</t>
        </is>
      </c>
      <c r="L68" s="2" t="inlineStr"/>
      <c r="M68" s="2" t="inlineStr"/>
      <c r="N68" s="6" t="inlineStr">
        <is>
          <t>문자나 메신저로 '본인 확인' 링크가 왔을 때 가장 알맞은 행동은?</t>
        </is>
      </c>
      <c r="O68" s="6" t="inlineStr">
        <is>
          <t>급하니 바로 누른다</t>
        </is>
      </c>
      <c r="P68" s="6" t="inlineStr">
        <is>
          <t>링크 주소와 발신자를 확인하고 의심되면 누르지 않는다</t>
        </is>
      </c>
      <c r="Q68" s="6" t="inlineStr">
        <is>
          <t>친구에게 대신 눌러 달라고 한다</t>
        </is>
      </c>
      <c r="R68" s="6" t="inlineStr">
        <is>
          <t>문자를 다른 사람에게 퍼뜨린다</t>
        </is>
      </c>
      <c r="S68" s="7" t="n">
        <v>2</v>
      </c>
      <c r="T68" s="6" t="inlineStr">
        <is>
          <t>링크 주소와 발신자를 확인하고 의심되면 누르지 않는다</t>
        </is>
      </c>
      <c r="U68" s="7" t="inlineStr">
        <is>
          <t>디지털 안전 기초 판단</t>
        </is>
      </c>
      <c r="V68" s="6" t="inlineStr">
        <is>
          <t>중1 1번 문항풀의 디지털 안전 영역 진단 문항입니다. 학생이 의심스러운 상황을 인식하고 안전하게 대처하는지를 확인하는 데 활용합니다.</t>
        </is>
      </c>
      <c r="W68" s="7" t="inlineStr">
        <is>
          <t>4-1-2-3-4-1-2-3-4-1</t>
        </is>
      </c>
    </row>
    <row r="69">
      <c r="A69" s="2" t="inlineStr">
        <is>
          <t>M1-P1-08</t>
        </is>
      </c>
      <c r="B69" s="2" t="inlineStr">
        <is>
          <t>중등</t>
        </is>
      </c>
      <c r="C69" s="2" t="inlineStr">
        <is>
          <t>중1</t>
        </is>
      </c>
      <c r="D69" s="2" t="n">
        <v>1</v>
      </c>
      <c r="E69" s="2" t="n">
        <v>1</v>
      </c>
      <c r="F69" s="3" t="inlineStr">
        <is>
          <t>1번 문항풀(디지털 기초소양)</t>
        </is>
      </c>
      <c r="G69" s="2" t="n">
        <v>8</v>
      </c>
      <c r="H69" s="2" t="inlineStr">
        <is>
          <t>PHOTO</t>
        </is>
      </c>
      <c r="I69" s="3" t="inlineStr">
        <is>
          <t>사진·초상권</t>
        </is>
      </c>
      <c r="J69" s="4" t="inlineStr">
        <is>
          <t>A</t>
        </is>
      </c>
      <c r="K69" s="2" t="inlineStr">
        <is>
          <t>N</t>
        </is>
      </c>
      <c r="L69" s="2" t="inlineStr"/>
      <c r="M69" s="2" t="inlineStr"/>
      <c r="N69" s="6" t="inlineStr">
        <is>
          <t>친구가 나온 사진을 올릴 때 지켜야 할 것으로 가장 알맞은 것은?</t>
        </is>
      </c>
      <c r="O69" s="6" t="inlineStr">
        <is>
          <t>내가 찍었으니 마음대로 올린다</t>
        </is>
      </c>
      <c r="P69" s="6" t="inlineStr">
        <is>
          <t>웃긴 사진이면 허락이 필요 없다</t>
        </is>
      </c>
      <c r="Q69" s="6" t="inlineStr">
        <is>
          <t>당사자의 동의를 먼저 확인한다</t>
        </is>
      </c>
      <c r="R69" s="6" t="inlineStr">
        <is>
          <t>이름만 안 쓰면 된다</t>
        </is>
      </c>
      <c r="S69" s="7" t="n">
        <v>3</v>
      </c>
      <c r="T69" s="6" t="inlineStr">
        <is>
          <t>당사자의 동의를 먼저 확인한다</t>
        </is>
      </c>
      <c r="U69" s="7" t="inlineStr">
        <is>
          <t>사진·초상권 기초 판단</t>
        </is>
      </c>
      <c r="V69" s="6" t="inlineStr">
        <is>
          <t>중1 1번 문항풀의 사진·초상권 영역 진단 문항입니다. 학생이 사진·영상 공유 전 동의와 배려의 필요를 이해하는지를 확인하는 데 활용합니다.</t>
        </is>
      </c>
      <c r="W69" s="7" t="inlineStr">
        <is>
          <t>4-1-2-3-4-1-2-3-4-1</t>
        </is>
      </c>
    </row>
    <row r="70">
      <c r="A70" s="2" t="inlineStr">
        <is>
          <t>M1-P1-09</t>
        </is>
      </c>
      <c r="B70" s="2" t="inlineStr">
        <is>
          <t>중등</t>
        </is>
      </c>
      <c r="C70" s="2" t="inlineStr">
        <is>
          <t>중1</t>
        </is>
      </c>
      <c r="D70" s="2" t="n">
        <v>1</v>
      </c>
      <c r="E70" s="2" t="n">
        <v>1</v>
      </c>
      <c r="F70" s="3" t="inlineStr">
        <is>
          <t>1번 문항풀(디지털 기초소양)</t>
        </is>
      </c>
      <c r="G70" s="2" t="n">
        <v>9</v>
      </c>
      <c r="H70" s="2" t="inlineStr">
        <is>
          <t>USE</t>
        </is>
      </c>
      <c r="I70" s="3" t="inlineStr">
        <is>
          <t>기기 사용 습관</t>
        </is>
      </c>
      <c r="J70" s="8" t="inlineStr">
        <is>
          <t>B</t>
        </is>
      </c>
      <c r="K70" s="2" t="inlineStr">
        <is>
          <t>N</t>
        </is>
      </c>
      <c r="L70" s="2" t="inlineStr"/>
      <c r="M70" s="2" t="inlineStr"/>
      <c r="N70" s="6" t="inlineStr">
        <is>
          <t>온라인 학습 중 집중을 높이기 위한 행동으로 가장 알맞은 것은?</t>
        </is>
      </c>
      <c r="O70" s="6" t="inlineStr">
        <is>
          <t>수업 중에도 알림을 바로 확인한다</t>
        </is>
      </c>
      <c r="P70" s="6" t="inlineStr">
        <is>
          <t>여러 앱을 동시에 켠다</t>
        </is>
      </c>
      <c r="Q70" s="6" t="inlineStr">
        <is>
          <t>친구와 계속 채팅한다</t>
        </is>
      </c>
      <c r="R70" s="6" t="inlineStr">
        <is>
          <t>필요 없는 알림을 줄이고 학습 화면에 집중한다</t>
        </is>
      </c>
      <c r="S70" s="7" t="n">
        <v>4</v>
      </c>
      <c r="T70" s="6" t="inlineStr">
        <is>
          <t>필요 없는 알림을 줄이고 학습 화면에 집중한다</t>
        </is>
      </c>
      <c r="U70" s="7" t="inlineStr">
        <is>
          <t>기기 사용 습관 기초 판단</t>
        </is>
      </c>
      <c r="V70" s="6" t="inlineStr">
        <is>
          <t>중1 1번 문항풀의 기기 사용 습관 영역 진단 문항입니다. 학생이 학습 상황에 맞게 기기를 사용하는지를 확인하는 데 활용합니다.</t>
        </is>
      </c>
      <c r="W70" s="7" t="inlineStr">
        <is>
          <t>4-1-2-3-4-1-2-3-4-1</t>
        </is>
      </c>
    </row>
    <row r="71">
      <c r="A71" s="2" t="inlineStr">
        <is>
          <t>M1-P1-10</t>
        </is>
      </c>
      <c r="B71" s="2" t="inlineStr">
        <is>
          <t>중등</t>
        </is>
      </c>
      <c r="C71" s="2" t="inlineStr">
        <is>
          <t>중1</t>
        </is>
      </c>
      <c r="D71" s="2" t="n">
        <v>1</v>
      </c>
      <c r="E71" s="2" t="n">
        <v>1</v>
      </c>
      <c r="F71" s="3" t="inlineStr">
        <is>
          <t>1번 문항풀(디지털 기초소양)</t>
        </is>
      </c>
      <c r="G71" s="2" t="n">
        <v>10</v>
      </c>
      <c r="H71" s="2" t="inlineStr">
        <is>
          <t>RESP</t>
        </is>
      </c>
      <c r="I71" s="3" t="inlineStr">
        <is>
          <t>책임감</t>
        </is>
      </c>
      <c r="J71" s="8" t="inlineStr">
        <is>
          <t>B</t>
        </is>
      </c>
      <c r="K71" s="2" t="inlineStr">
        <is>
          <t>N</t>
        </is>
      </c>
      <c r="L71" s="2" t="inlineStr"/>
      <c r="M71" s="2" t="inlineStr"/>
      <c r="N71" s="6" t="inlineStr">
        <is>
          <t>학교 계정과 공유 기기를 사용할 때 가장 바른 행동은?</t>
        </is>
      </c>
      <c r="O71" s="6" t="inlineStr">
        <is>
          <t>정해진 규칙을 지키고 사용 후 정리한다</t>
        </is>
      </c>
      <c r="P71" s="6" t="inlineStr">
        <is>
          <t>로그아웃하지 않아도 된다</t>
        </is>
      </c>
      <c r="Q71" s="6" t="inlineStr">
        <is>
          <t>다른 사람 계정으로 들어가 본다</t>
        </is>
      </c>
      <c r="R71" s="6" t="inlineStr">
        <is>
          <t>기기에 내 파일을 마음대로 저장한다</t>
        </is>
      </c>
      <c r="S71" s="7" t="n">
        <v>1</v>
      </c>
      <c r="T71" s="6" t="inlineStr">
        <is>
          <t>정해진 규칙을 지키고 사용 후 정리한다</t>
        </is>
      </c>
      <c r="U71" s="7" t="inlineStr">
        <is>
          <t>책임감 기초 판단</t>
        </is>
      </c>
      <c r="V71" s="6" t="inlineStr">
        <is>
          <t>중1 1번 문항풀의 책임감 영역 진단 문항입니다. 학생이 학교·공동 환경에서 디지털 규칙을 지키는지를 확인하는 데 활용합니다.</t>
        </is>
      </c>
      <c r="W71" s="7" t="inlineStr">
        <is>
          <t>4-1-2-3-4-1-2-3-4-1</t>
        </is>
      </c>
    </row>
    <row r="72">
      <c r="A72" s="9" t="inlineStr">
        <is>
          <t>M1-P2-01</t>
        </is>
      </c>
      <c r="B72" s="9" t="inlineStr">
        <is>
          <t>중등</t>
        </is>
      </c>
      <c r="C72" s="9" t="inlineStr">
        <is>
          <t>중1</t>
        </is>
      </c>
      <c r="D72" s="9" t="n">
        <v>2</v>
      </c>
      <c r="E72" s="9" t="n">
        <v>2</v>
      </c>
      <c r="F72" s="10" t="inlineStr">
        <is>
          <t>2번 문항풀(AI 활용 기초)</t>
        </is>
      </c>
      <c r="G72" s="9" t="n">
        <v>1</v>
      </c>
      <c r="H72" s="9" t="inlineStr">
        <is>
          <t>AIU</t>
        </is>
      </c>
      <c r="I72" s="10" t="inlineStr">
        <is>
          <t>AI 이해</t>
        </is>
      </c>
      <c r="J72" s="4" t="inlineStr">
        <is>
          <t>A</t>
        </is>
      </c>
      <c r="K72" s="5" t="inlineStr">
        <is>
          <t>Y</t>
        </is>
      </c>
      <c r="L72" s="5" t="inlineStr">
        <is>
          <t>중1-P2-A1</t>
        </is>
      </c>
      <c r="M72" s="5" t="inlineStr">
        <is>
          <t>기초 기준문항</t>
        </is>
      </c>
      <c r="N72" s="6" t="inlineStr">
        <is>
          <t>생성형 AI에 대한 설명으로 가장 알맞은 것은?</t>
        </is>
      </c>
      <c r="O72" s="6" t="inlineStr">
        <is>
          <t>항상 정답만 말한다</t>
        </is>
      </c>
      <c r="P72" s="6" t="inlineStr">
        <is>
          <t>사람이 입력한 요청에 따라 글이나 그림 등을 만들 수 있다</t>
        </is>
      </c>
      <c r="Q72" s="6" t="inlineStr">
        <is>
          <t>인터넷이 없어도 모든 사실을 안다</t>
        </is>
      </c>
      <c r="R72" s="6" t="inlineStr">
        <is>
          <t>사람 감정을 완벽히 이해한다</t>
        </is>
      </c>
      <c r="S72" s="7" t="n">
        <v>2</v>
      </c>
      <c r="T72" s="6" t="inlineStr">
        <is>
          <t>사람이 입력한 요청에 따라 글이나 그림 등을 만들 수 있다</t>
        </is>
      </c>
      <c r="U72" s="7" t="inlineStr">
        <is>
          <t>AI 이해 기초 판단</t>
        </is>
      </c>
      <c r="V72" s="6" t="inlineStr">
        <is>
          <t>중1 2번 문항풀의 AI 이해 영역 진단 문항입니다. 학생이 AI의 기본 원리와 한계를 구분하는지를 확인하는 데 활용합니다.</t>
        </is>
      </c>
      <c r="W72" s="7" t="inlineStr">
        <is>
          <t>2-4-3-1-2-4-3-1-2-4</t>
        </is>
      </c>
    </row>
    <row r="73">
      <c r="A73" s="9" t="inlineStr">
        <is>
          <t>M1-P2-02</t>
        </is>
      </c>
      <c r="B73" s="9" t="inlineStr">
        <is>
          <t>중등</t>
        </is>
      </c>
      <c r="C73" s="9" t="inlineStr">
        <is>
          <t>중1</t>
        </is>
      </c>
      <c r="D73" s="9" t="n">
        <v>2</v>
      </c>
      <c r="E73" s="9" t="n">
        <v>2</v>
      </c>
      <c r="F73" s="10" t="inlineStr">
        <is>
          <t>2번 문항풀(AI 활용 기초)</t>
        </is>
      </c>
      <c r="G73" s="9" t="n">
        <v>2</v>
      </c>
      <c r="H73" s="9" t="inlineStr">
        <is>
          <t>AIU</t>
        </is>
      </c>
      <c r="I73" s="10" t="inlineStr">
        <is>
          <t>AI 이해</t>
        </is>
      </c>
      <c r="J73" s="4" t="inlineStr">
        <is>
          <t>A</t>
        </is>
      </c>
      <c r="K73" s="9" t="inlineStr">
        <is>
          <t>N</t>
        </is>
      </c>
      <c r="L73" s="9" t="inlineStr"/>
      <c r="M73" s="9" t="inlineStr"/>
      <c r="N73" s="6" t="inlineStr">
        <is>
          <t>AI 결과를 사용할 때 가장 중요한 태도는?</t>
        </is>
      </c>
      <c r="O73" s="6" t="inlineStr">
        <is>
          <t>길면 무조건 믿는다</t>
        </is>
      </c>
      <c r="P73" s="6" t="inlineStr">
        <is>
          <t>화려하면 믿는다</t>
        </is>
      </c>
      <c r="Q73" s="6" t="inlineStr">
        <is>
          <t>친구가 쓰면 따라 쓴다</t>
        </is>
      </c>
      <c r="R73" s="6" t="inlineStr">
        <is>
          <t>틀릴 수 있으니 검토한다</t>
        </is>
      </c>
      <c r="S73" s="7" t="n">
        <v>4</v>
      </c>
      <c r="T73" s="6" t="inlineStr">
        <is>
          <t>틀릴 수 있으니 검토한다</t>
        </is>
      </c>
      <c r="U73" s="7" t="inlineStr">
        <is>
          <t>AI 이해 기초 판단</t>
        </is>
      </c>
      <c r="V73" s="6" t="inlineStr">
        <is>
          <t>중1 2번 문항풀의 AI 이해 영역 진단 문항입니다. 학생이 AI의 기본 원리와 한계를 구분하는지를 확인하는 데 활용합니다.</t>
        </is>
      </c>
      <c r="W73" s="7" t="inlineStr">
        <is>
          <t>2-4-3-1-2-4-3-1-2-4</t>
        </is>
      </c>
    </row>
    <row r="74">
      <c r="A74" s="9" t="inlineStr">
        <is>
          <t>M1-P2-03</t>
        </is>
      </c>
      <c r="B74" s="9" t="inlineStr">
        <is>
          <t>중등</t>
        </is>
      </c>
      <c r="C74" s="9" t="inlineStr">
        <is>
          <t>중1</t>
        </is>
      </c>
      <c r="D74" s="9" t="n">
        <v>2</v>
      </c>
      <c r="E74" s="9" t="n">
        <v>2</v>
      </c>
      <c r="F74" s="10" t="inlineStr">
        <is>
          <t>2번 문항풀(AI 활용 기초)</t>
        </is>
      </c>
      <c r="G74" s="9" t="n">
        <v>3</v>
      </c>
      <c r="H74" s="9" t="inlineStr">
        <is>
          <t>AIA</t>
        </is>
      </c>
      <c r="I74" s="10" t="inlineStr">
        <is>
          <t>AI 활용 태도</t>
        </is>
      </c>
      <c r="J74" s="8" t="inlineStr">
        <is>
          <t>B</t>
        </is>
      </c>
      <c r="K74" s="9" t="inlineStr">
        <is>
          <t>N</t>
        </is>
      </c>
      <c r="L74" s="9" t="inlineStr"/>
      <c r="M74" s="9" t="inlineStr"/>
      <c r="N74" s="6" t="inlineStr">
        <is>
          <t>과제 아이디어를 AI에게 물어본 뒤 가장 바람직한 행동은?</t>
        </is>
      </c>
      <c r="O74" s="6" t="inlineStr">
        <is>
          <t>그대로 베껴 제출한다</t>
        </is>
      </c>
      <c r="P74" s="6" t="inlineStr">
        <is>
          <t>친구 이름으로 제출한다</t>
        </is>
      </c>
      <c r="Q74" s="6" t="inlineStr">
        <is>
          <t>내가 이해한 내용으로 다시 정리한다</t>
        </is>
      </c>
      <c r="R74" s="6" t="inlineStr">
        <is>
          <t>출처 없이 복사한다</t>
        </is>
      </c>
      <c r="S74" s="7" t="n">
        <v>3</v>
      </c>
      <c r="T74" s="6" t="inlineStr">
        <is>
          <t>내가 이해한 내용으로 다시 정리한다</t>
        </is>
      </c>
      <c r="U74" s="7" t="inlineStr">
        <is>
          <t>AI 활용 태도 기초 판단</t>
        </is>
      </c>
      <c r="V74" s="6" t="inlineStr">
        <is>
          <t>중1 2번 문항풀의 AI 활용 태도 영역 진단 문항입니다. 학생이 AI를 무비판적으로 사용하지 않고 검토하려는지를 확인하는 데 활용합니다.</t>
        </is>
      </c>
      <c r="W74" s="7" t="inlineStr">
        <is>
          <t>2-4-3-1-2-4-3-1-2-4</t>
        </is>
      </c>
    </row>
    <row r="75">
      <c r="A75" s="9" t="inlineStr">
        <is>
          <t>M1-P2-04</t>
        </is>
      </c>
      <c r="B75" s="9" t="inlineStr">
        <is>
          <t>중등</t>
        </is>
      </c>
      <c r="C75" s="9" t="inlineStr">
        <is>
          <t>중1</t>
        </is>
      </c>
      <c r="D75" s="9" t="n">
        <v>2</v>
      </c>
      <c r="E75" s="9" t="n">
        <v>2</v>
      </c>
      <c r="F75" s="10" t="inlineStr">
        <is>
          <t>2번 문항풀(AI 활용 기초)</t>
        </is>
      </c>
      <c r="G75" s="9" t="n">
        <v>4</v>
      </c>
      <c r="H75" s="9" t="inlineStr">
        <is>
          <t>DPS</t>
        </is>
      </c>
      <c r="I75" s="10" t="inlineStr">
        <is>
          <t>문제해결</t>
        </is>
      </c>
      <c r="J75" s="8" t="inlineStr">
        <is>
          <t>B</t>
        </is>
      </c>
      <c r="K75" s="9" t="inlineStr">
        <is>
          <t>N</t>
        </is>
      </c>
      <c r="L75" s="9" t="inlineStr"/>
      <c r="M75" s="9" t="inlineStr"/>
      <c r="N75" s="6" t="inlineStr">
        <is>
          <t>앱 오류가 났을 때 문제해결 순서로 가장 알맞은 것은?</t>
        </is>
      </c>
      <c r="O75" s="6" t="inlineStr">
        <is>
          <t>원인 확인 → 다시 시도 → 필요 시 도움 요청</t>
        </is>
      </c>
      <c r="P75" s="6" t="inlineStr">
        <is>
          <t>친구 탓하기 → 종료하기 → 포기하기</t>
        </is>
      </c>
      <c r="Q75" s="6" t="inlineStr">
        <is>
          <t>바로 삭제하기 → 다시 설치 안 하기</t>
        </is>
      </c>
      <c r="R75" s="6" t="inlineStr">
        <is>
          <t>무작정 계속 누르기</t>
        </is>
      </c>
      <c r="S75" s="7" t="n">
        <v>1</v>
      </c>
      <c r="T75" s="6" t="inlineStr">
        <is>
          <t>원인 확인 → 다시 시도 → 필요 시 도움 요청</t>
        </is>
      </c>
      <c r="U75" s="7" t="inlineStr">
        <is>
          <t>문제해결 기초 판단</t>
        </is>
      </c>
      <c r="V75" s="6" t="inlineStr">
        <is>
          <t>중1 2번 문항풀의 문제해결 영역 진단 문항입니다. 학생이 디지털 문제를 단계적으로 해결하려는지를 확인하는 데 활용합니다.</t>
        </is>
      </c>
      <c r="W75" s="7" t="inlineStr">
        <is>
          <t>2-4-3-1-2-4-3-1-2-4</t>
        </is>
      </c>
    </row>
    <row r="76">
      <c r="A76" s="9" t="inlineStr">
        <is>
          <t>M1-P2-05</t>
        </is>
      </c>
      <c r="B76" s="9" t="inlineStr">
        <is>
          <t>중등</t>
        </is>
      </c>
      <c r="C76" s="9" t="inlineStr">
        <is>
          <t>중1</t>
        </is>
      </c>
      <c r="D76" s="9" t="n">
        <v>2</v>
      </c>
      <c r="E76" s="9" t="n">
        <v>2</v>
      </c>
      <c r="F76" s="10" t="inlineStr">
        <is>
          <t>2번 문항풀(AI 활용 기초)</t>
        </is>
      </c>
      <c r="G76" s="9" t="n">
        <v>5</v>
      </c>
      <c r="H76" s="9" t="inlineStr">
        <is>
          <t>AIC</t>
        </is>
      </c>
      <c r="I76" s="10" t="inlineStr">
        <is>
          <t>결과 검토</t>
        </is>
      </c>
      <c r="J76" s="8" t="inlineStr">
        <is>
          <t>B</t>
        </is>
      </c>
      <c r="K76" s="5" t="inlineStr">
        <is>
          <t>Y</t>
        </is>
      </c>
      <c r="L76" s="5" t="inlineStr">
        <is>
          <t>중1-P2-A2</t>
        </is>
      </c>
      <c r="M76" s="5" t="inlineStr">
        <is>
          <t>비판적 판단 기준문항</t>
        </is>
      </c>
      <c r="N76" s="6" t="inlineStr">
        <is>
          <t>AI가 알려 준 역사 정보가 맞는지 확인하려면 어떻게 하는 것이 가장 좋을까?</t>
        </is>
      </c>
      <c r="O76" s="6" t="inlineStr">
        <is>
          <t>AI가 말했으니 믿는다</t>
        </is>
      </c>
      <c r="P76" s="6" t="inlineStr">
        <is>
          <t>교과서나 믿을 만한 자료와 비교한다</t>
        </is>
      </c>
      <c r="Q76" s="6" t="inlineStr">
        <is>
          <t>친구 한 명에게만 묻는다</t>
        </is>
      </c>
      <c r="R76" s="6" t="inlineStr">
        <is>
          <t>길게 써 있으면 맞다고 본다</t>
        </is>
      </c>
      <c r="S76" s="7" t="n">
        <v>2</v>
      </c>
      <c r="T76" s="6" t="inlineStr">
        <is>
          <t>교과서나 믿을 만한 자료와 비교한다</t>
        </is>
      </c>
      <c r="U76" s="7" t="inlineStr">
        <is>
          <t>결과 검토 기초 판단</t>
        </is>
      </c>
      <c r="V76" s="6" t="inlineStr">
        <is>
          <t>중1 2번 문항풀의 결과 검토 영역 진단 문항입니다. 학생이 AI·디지털 결과물을 근거 중심으로 다시 확인하는지를 확인하는 데 활용합니다.</t>
        </is>
      </c>
      <c r="W76" s="7" t="inlineStr">
        <is>
          <t>2-4-3-1-2-4-3-1-2-4</t>
        </is>
      </c>
    </row>
    <row r="77">
      <c r="A77" s="9" t="inlineStr">
        <is>
          <t>M1-P2-06</t>
        </is>
      </c>
      <c r="B77" s="9" t="inlineStr">
        <is>
          <t>중등</t>
        </is>
      </c>
      <c r="C77" s="9" t="inlineStr">
        <is>
          <t>중1</t>
        </is>
      </c>
      <c r="D77" s="9" t="n">
        <v>2</v>
      </c>
      <c r="E77" s="9" t="n">
        <v>2</v>
      </c>
      <c r="F77" s="10" t="inlineStr">
        <is>
          <t>2번 문항풀(AI 활용 기초)</t>
        </is>
      </c>
      <c r="G77" s="9" t="n">
        <v>6</v>
      </c>
      <c r="H77" s="9" t="inlineStr">
        <is>
          <t>AIE</t>
        </is>
      </c>
      <c r="I77" s="10" t="inlineStr">
        <is>
          <t>책임 있는 활용</t>
        </is>
      </c>
      <c r="J77" s="8" t="inlineStr">
        <is>
          <t>B</t>
        </is>
      </c>
      <c r="K77" s="9" t="inlineStr">
        <is>
          <t>N</t>
        </is>
      </c>
      <c r="L77" s="9" t="inlineStr"/>
      <c r="M77" s="9" t="inlineStr"/>
      <c r="N77" s="6" t="inlineStr">
        <is>
          <t>AI를 사용해 친구를 속이는 가짜 대화를 만드는 행동에 대한 판단으로 가장 알맞은 것은?</t>
        </is>
      </c>
      <c r="O77" s="6" t="inlineStr">
        <is>
          <t>장난이면 괜찮다</t>
        </is>
      </c>
      <c r="P77" s="6" t="inlineStr">
        <is>
          <t>재미있으면 괜찮다</t>
        </is>
      </c>
      <c r="Q77" s="6" t="inlineStr">
        <is>
          <t>들키지만 않으면 된다</t>
        </is>
      </c>
      <c r="R77" s="6" t="inlineStr">
        <is>
          <t>상대에게 피해를 줄 수 있어 적절하지 않다</t>
        </is>
      </c>
      <c r="S77" s="7" t="n">
        <v>4</v>
      </c>
      <c r="T77" s="6" t="inlineStr">
        <is>
          <t>상대에게 피해를 줄 수 있어 적절하지 않다</t>
        </is>
      </c>
      <c r="U77" s="7" t="inlineStr">
        <is>
          <t>책임 있는 활용 기초 판단</t>
        </is>
      </c>
      <c r="V77" s="6" t="inlineStr">
        <is>
          <t>중1 2번 문항풀의 책임 있는 활용 영역 진단 문항입니다. 학생이 AI·디지털 도구를 타인에게 해를 주지 않게 사용하는지를 확인하는 데 활용합니다.</t>
        </is>
      </c>
      <c r="W77" s="7" t="inlineStr">
        <is>
          <t>2-4-3-1-2-4-3-1-2-4</t>
        </is>
      </c>
    </row>
    <row r="78">
      <c r="A78" s="9" t="inlineStr">
        <is>
          <t>M1-P2-07</t>
        </is>
      </c>
      <c r="B78" s="9" t="inlineStr">
        <is>
          <t>중등</t>
        </is>
      </c>
      <c r="C78" s="9" t="inlineStr">
        <is>
          <t>중1</t>
        </is>
      </c>
      <c r="D78" s="9" t="n">
        <v>2</v>
      </c>
      <c r="E78" s="9" t="n">
        <v>2</v>
      </c>
      <c r="F78" s="10" t="inlineStr">
        <is>
          <t>2번 문항풀(AI 활용 기초)</t>
        </is>
      </c>
      <c r="G78" s="9" t="n">
        <v>7</v>
      </c>
      <c r="H78" s="9" t="inlineStr">
        <is>
          <t>COL</t>
        </is>
      </c>
      <c r="I78" s="10" t="inlineStr">
        <is>
          <t>협업 태도</t>
        </is>
      </c>
      <c r="J78" s="4" t="inlineStr">
        <is>
          <t>A</t>
        </is>
      </c>
      <c r="K78" s="9" t="inlineStr">
        <is>
          <t>N</t>
        </is>
      </c>
      <c r="L78" s="9" t="inlineStr"/>
      <c r="M78" s="9" t="inlineStr"/>
      <c r="N78" s="6" t="inlineStr">
        <is>
          <t>조별 과제에서 디지털 도구를 쓸 때 가장 좋은 방법은?</t>
        </is>
      </c>
      <c r="O78" s="6" t="inlineStr">
        <is>
          <t>한 명이 전부 하고 나머지는 본다</t>
        </is>
      </c>
      <c r="P78" s="6" t="inlineStr">
        <is>
          <t>다른 조 파일을 복사한다</t>
        </is>
      </c>
      <c r="Q78" s="6" t="inlineStr">
        <is>
          <t>역할을 나누고 결과를 함께 검토한다</t>
        </is>
      </c>
      <c r="R78" s="6" t="inlineStr">
        <is>
          <t>가장 빠른 친구에게 모두 맡긴다</t>
        </is>
      </c>
      <c r="S78" s="7" t="n">
        <v>3</v>
      </c>
      <c r="T78" s="6" t="inlineStr">
        <is>
          <t>역할을 나누고 결과를 함께 검토한다</t>
        </is>
      </c>
      <c r="U78" s="7" t="inlineStr">
        <is>
          <t>협업 태도 기초 판단</t>
        </is>
      </c>
      <c r="V78" s="6" t="inlineStr">
        <is>
          <t>중1 2번 문항풀의 협업 태도 영역 진단 문항입니다. 학생이 디지털 환경에서 역할을 나누고 협력하는지를 확인하는 데 활용합니다.</t>
        </is>
      </c>
      <c r="W78" s="7" t="inlineStr">
        <is>
          <t>2-4-3-1-2-4-3-1-2-4</t>
        </is>
      </c>
    </row>
    <row r="79">
      <c r="A79" s="9" t="inlineStr">
        <is>
          <t>M1-P2-08</t>
        </is>
      </c>
      <c r="B79" s="9" t="inlineStr">
        <is>
          <t>중등</t>
        </is>
      </c>
      <c r="C79" s="9" t="inlineStr">
        <is>
          <t>중1</t>
        </is>
      </c>
      <c r="D79" s="9" t="n">
        <v>2</v>
      </c>
      <c r="E79" s="9" t="n">
        <v>2</v>
      </c>
      <c r="F79" s="10" t="inlineStr">
        <is>
          <t>2번 문항풀(AI 활용 기초)</t>
        </is>
      </c>
      <c r="G79" s="9" t="n">
        <v>8</v>
      </c>
      <c r="H79" s="9" t="inlineStr">
        <is>
          <t>SELF</t>
        </is>
      </c>
      <c r="I79" s="10" t="inlineStr">
        <is>
          <t>자기주도성</t>
        </is>
      </c>
      <c r="J79" s="4" t="inlineStr">
        <is>
          <t>A</t>
        </is>
      </c>
      <c r="K79" s="9" t="inlineStr">
        <is>
          <t>N</t>
        </is>
      </c>
      <c r="L79" s="9" t="inlineStr"/>
      <c r="M79" s="9" t="inlineStr"/>
      <c r="N79" s="6" t="inlineStr">
        <is>
          <t>새로운 학습 앱을 만났을 때 바람직한 태도는?</t>
        </is>
      </c>
      <c r="O79" s="6" t="inlineStr">
        <is>
          <t>도움말과 예시를 보며 사용해 본다</t>
        </is>
      </c>
      <c r="P79" s="6" t="inlineStr">
        <is>
          <t>처음부터 어렵다고 포기한다</t>
        </is>
      </c>
      <c r="Q79" s="6" t="inlineStr">
        <is>
          <t>친구가 대신 하게 한다</t>
        </is>
      </c>
      <c r="R79" s="6" t="inlineStr">
        <is>
          <t>사용하지 않고 넘어간다</t>
        </is>
      </c>
      <c r="S79" s="7" t="n">
        <v>1</v>
      </c>
      <c r="T79" s="6" t="inlineStr">
        <is>
          <t>도움말과 예시를 보며 사용해 본다</t>
        </is>
      </c>
      <c r="U79" s="7" t="inlineStr">
        <is>
          <t>자기주도성 기초 판단</t>
        </is>
      </c>
      <c r="V79" s="6" t="inlineStr">
        <is>
          <t>중1 2번 문항풀의 자기주도성 영역 진단 문항입니다. 학생이 새로운 디지털 도구를 스스로 시도하고 학습하려는지를 확인하는 데 활용합니다.</t>
        </is>
      </c>
      <c r="W79" s="7" t="inlineStr">
        <is>
          <t>2-4-3-1-2-4-3-1-2-4</t>
        </is>
      </c>
    </row>
    <row r="80">
      <c r="A80" s="9" t="inlineStr">
        <is>
          <t>M1-P2-09</t>
        </is>
      </c>
      <c r="B80" s="9" t="inlineStr">
        <is>
          <t>중등</t>
        </is>
      </c>
      <c r="C80" s="9" t="inlineStr">
        <is>
          <t>중1</t>
        </is>
      </c>
      <c r="D80" s="9" t="n">
        <v>2</v>
      </c>
      <c r="E80" s="9" t="n">
        <v>2</v>
      </c>
      <c r="F80" s="10" t="inlineStr">
        <is>
          <t>2번 문항풀(AI 활용 기초)</t>
        </is>
      </c>
      <c r="G80" s="9" t="n">
        <v>9</v>
      </c>
      <c r="H80" s="9" t="inlineStr">
        <is>
          <t>DATA</t>
        </is>
      </c>
      <c r="I80" s="10" t="inlineStr">
        <is>
          <t>데이터 이해</t>
        </is>
      </c>
      <c r="J80" s="8" t="inlineStr">
        <is>
          <t>B</t>
        </is>
      </c>
      <c r="K80" s="9" t="inlineStr">
        <is>
          <t>N</t>
        </is>
      </c>
      <c r="L80" s="9" t="inlineStr"/>
      <c r="M80" s="9" t="inlineStr"/>
      <c r="N80" s="6" t="inlineStr">
        <is>
          <t>AI 결과가 달라질 수 있는 이유로 가장 알맞은 것은?</t>
        </is>
      </c>
      <c r="O80" s="6" t="inlineStr">
        <is>
          <t>기기 색깔이 달라서</t>
        </is>
      </c>
      <c r="P80" s="6" t="inlineStr">
        <is>
          <t>데이터와 입력이 다를 수 있어서</t>
        </is>
      </c>
      <c r="Q80" s="6" t="inlineStr">
        <is>
          <t>자리 배치가 달라서</t>
        </is>
      </c>
      <c r="R80" s="6" t="inlineStr">
        <is>
          <t>사용자 이름이 달라서</t>
        </is>
      </c>
      <c r="S80" s="7" t="n">
        <v>2</v>
      </c>
      <c r="T80" s="6" t="inlineStr">
        <is>
          <t>데이터와 입력이 다를 수 있어서</t>
        </is>
      </c>
      <c r="U80" s="7" t="inlineStr">
        <is>
          <t>데이터 이해 기초 판단</t>
        </is>
      </c>
      <c r="V80" s="6" t="inlineStr">
        <is>
          <t>중1 2번 문항풀의 데이터 이해 영역 진단 문항입니다. 학생이 데이터가 결과에 영향을 준다는 점을 이해하는지를 확인하는 데 활용합니다.</t>
        </is>
      </c>
      <c r="W80" s="7" t="inlineStr">
        <is>
          <t>2-4-3-1-2-4-3-1-2-4</t>
        </is>
      </c>
    </row>
    <row r="81">
      <c r="A81" s="9" t="inlineStr">
        <is>
          <t>M1-P2-10</t>
        </is>
      </c>
      <c r="B81" s="9" t="inlineStr">
        <is>
          <t>중등</t>
        </is>
      </c>
      <c r="C81" s="9" t="inlineStr">
        <is>
          <t>중1</t>
        </is>
      </c>
      <c r="D81" s="9" t="n">
        <v>2</v>
      </c>
      <c r="E81" s="9" t="n">
        <v>2</v>
      </c>
      <c r="F81" s="10" t="inlineStr">
        <is>
          <t>2번 문항풀(AI 활용 기초)</t>
        </is>
      </c>
      <c r="G81" s="9" t="n">
        <v>10</v>
      </c>
      <c r="H81" s="9" t="inlineStr">
        <is>
          <t>CARE</t>
        </is>
      </c>
      <c r="I81" s="10" t="inlineStr">
        <is>
          <t>진로 인식</t>
        </is>
      </c>
      <c r="J81" s="8" t="inlineStr">
        <is>
          <t>B</t>
        </is>
      </c>
      <c r="K81" s="9" t="inlineStr">
        <is>
          <t>N</t>
        </is>
      </c>
      <c r="L81" s="9" t="inlineStr"/>
      <c r="M81" s="9" t="inlineStr"/>
      <c r="N81" s="6" t="inlineStr">
        <is>
          <t>AI·SW를 배우는 의미로 가장 알맞은 것은?</t>
        </is>
      </c>
      <c r="O81" s="6" t="inlineStr">
        <is>
          <t>정보 시간에만 필요해서</t>
        </is>
      </c>
      <c r="P81" s="6" t="inlineStr">
        <is>
          <t>게임만 잘하려고</t>
        </is>
      </c>
      <c r="Q81" s="6" t="inlineStr">
        <is>
          <t>전문가만 써서</t>
        </is>
      </c>
      <c r="R81" s="6" t="inlineStr">
        <is>
          <t>여러 교과와 미래 직업 이해에 도움이 될 수 있어서</t>
        </is>
      </c>
      <c r="S81" s="7" t="n">
        <v>4</v>
      </c>
      <c r="T81" s="6" t="inlineStr">
        <is>
          <t>여러 교과와 미래 직업 이해에 도움이 될 수 있어서</t>
        </is>
      </c>
      <c r="U81" s="7" t="inlineStr">
        <is>
          <t>진로 인식 기초 판단</t>
        </is>
      </c>
      <c r="V81" s="6" t="inlineStr">
        <is>
          <t>중1 2번 문항풀의 진로 인식 영역 진단 문항입니다. 학생이 디지털 역량과 진로의 연결성을 인식하는지를 확인하는 데 활용합니다.</t>
        </is>
      </c>
      <c r="W81" s="7" t="inlineStr">
        <is>
          <t>2-4-3-1-2-4-3-1-2-4</t>
        </is>
      </c>
    </row>
    <row r="82">
      <c r="A82" s="2" t="inlineStr">
        <is>
          <t>M2-P1-01</t>
        </is>
      </c>
      <c r="B82" s="2" t="inlineStr">
        <is>
          <t>중등</t>
        </is>
      </c>
      <c r="C82" s="2" t="inlineStr">
        <is>
          <t>중2</t>
        </is>
      </c>
      <c r="D82" s="2" t="n">
        <v>1</v>
      </c>
      <c r="E82" s="2" t="n">
        <v>1</v>
      </c>
      <c r="F82" s="3" t="inlineStr">
        <is>
          <t>1번 문항풀(디지털 기초소양)</t>
        </is>
      </c>
      <c r="G82" s="2" t="n">
        <v>1</v>
      </c>
      <c r="H82" s="2" t="inlineStr">
        <is>
          <t>PRIV</t>
        </is>
      </c>
      <c r="I82" s="3" t="inlineStr">
        <is>
          <t>개인정보 보호</t>
        </is>
      </c>
      <c r="J82" s="4" t="inlineStr">
        <is>
          <t>A</t>
        </is>
      </c>
      <c r="K82" s="5" t="inlineStr">
        <is>
          <t>Y</t>
        </is>
      </c>
      <c r="L82" s="5" t="inlineStr">
        <is>
          <t>중2-P1-A1</t>
        </is>
      </c>
      <c r="M82" s="5" t="inlineStr">
        <is>
          <t>기초 기준문항</t>
        </is>
      </c>
      <c r="N82" s="6" t="inlineStr">
        <is>
          <t>앱이 연락처, 사진, 위치까지 모두 허용하라고 할 때 가장 바람직한 판단은?</t>
        </is>
      </c>
      <c r="O82" s="6" t="inlineStr">
        <is>
          <t>필요한 권한인지 따져 보고 선택한다</t>
        </is>
      </c>
      <c r="P82" s="6" t="inlineStr">
        <is>
          <t>일단 모두 허용한다</t>
        </is>
      </c>
      <c r="Q82" s="6" t="inlineStr">
        <is>
          <t>거절하면 앱이 불법이라고 생각한다</t>
        </is>
      </c>
      <c r="R82" s="6" t="inlineStr">
        <is>
          <t>친구도 허용했으니 따라 한다</t>
        </is>
      </c>
      <c r="S82" s="7" t="n">
        <v>1</v>
      </c>
      <c r="T82" s="6" t="inlineStr">
        <is>
          <t>필요한 권한인지 따져 보고 선택한다</t>
        </is>
      </c>
      <c r="U82" s="7" t="inlineStr">
        <is>
          <t>개인정보 보호 기초 판단</t>
        </is>
      </c>
      <c r="V82" s="6" t="inlineStr">
        <is>
          <t>중2 1번 문항풀의 개인정보 보호 영역 진단 문항입니다. 학생이 개인정보 노출 위험을 인식하고 안전한 대응을 선택하는지를 확인하는 데 활용합니다.</t>
        </is>
      </c>
      <c r="W82" s="7" t="inlineStr">
        <is>
          <t>1-2-3-4-1-2-3-4-1-2</t>
        </is>
      </c>
    </row>
    <row r="83">
      <c r="A83" s="2" t="inlineStr">
        <is>
          <t>M2-P1-02</t>
        </is>
      </c>
      <c r="B83" s="2" t="inlineStr">
        <is>
          <t>중등</t>
        </is>
      </c>
      <c r="C83" s="2" t="inlineStr">
        <is>
          <t>중2</t>
        </is>
      </c>
      <c r="D83" s="2" t="n">
        <v>1</v>
      </c>
      <c r="E83" s="2" t="n">
        <v>1</v>
      </c>
      <c r="F83" s="3" t="inlineStr">
        <is>
          <t>1번 문항풀(디지털 기초소양)</t>
        </is>
      </c>
      <c r="G83" s="2" t="n">
        <v>2</v>
      </c>
      <c r="H83" s="2" t="inlineStr">
        <is>
          <t>SAFE_ACC</t>
        </is>
      </c>
      <c r="I83" s="3" t="inlineStr">
        <is>
          <t>계정 안전</t>
        </is>
      </c>
      <c r="J83" s="4" t="inlineStr">
        <is>
          <t>A</t>
        </is>
      </c>
      <c r="K83" s="2" t="inlineStr">
        <is>
          <t>N</t>
        </is>
      </c>
      <c r="L83" s="2" t="inlineStr"/>
      <c r="M83" s="2" t="inlineStr"/>
      <c r="N83" s="6" t="inlineStr">
        <is>
          <t>보안에 더 도움이 되는 습관은?</t>
        </is>
      </c>
      <c r="O83" s="6" t="inlineStr">
        <is>
          <t>모든 사이트에서 같은 비밀번호 사용</t>
        </is>
      </c>
      <c r="P83" s="6" t="inlineStr">
        <is>
          <t>서비스마다 다른 비밀번호를 쓰고 관리</t>
        </is>
      </c>
      <c r="Q83" s="6" t="inlineStr">
        <is>
          <t>쉽게 기억하려고 생일만 사용</t>
        </is>
      </c>
      <c r="R83" s="6" t="inlineStr">
        <is>
          <t>친구와 서로 비밀번호 공유</t>
        </is>
      </c>
      <c r="S83" s="7" t="n">
        <v>2</v>
      </c>
      <c r="T83" s="6" t="inlineStr">
        <is>
          <t>서비스마다 다른 비밀번호를 쓰고 관리</t>
        </is>
      </c>
      <c r="U83" s="7" t="inlineStr">
        <is>
          <t>계정 안전 기초 판단</t>
        </is>
      </c>
      <c r="V83" s="6" t="inlineStr">
        <is>
          <t>중2 1번 문항풀의 계정 안전 영역 진단 문항입니다. 학생이 계정 보안의 기본 원칙을 이해하고 실천하려는지를 확인하는 데 활용합니다.</t>
        </is>
      </c>
      <c r="W83" s="7" t="inlineStr">
        <is>
          <t>1-2-3-4-1-2-3-4-1-2</t>
        </is>
      </c>
    </row>
    <row r="84">
      <c r="A84" s="2" t="inlineStr">
        <is>
          <t>M2-P1-03</t>
        </is>
      </c>
      <c r="B84" s="2" t="inlineStr">
        <is>
          <t>중등</t>
        </is>
      </c>
      <c r="C84" s="2" t="inlineStr">
        <is>
          <t>중2</t>
        </is>
      </c>
      <c r="D84" s="2" t="n">
        <v>1</v>
      </c>
      <c r="E84" s="2" t="n">
        <v>1</v>
      </c>
      <c r="F84" s="3" t="inlineStr">
        <is>
          <t>1번 문항풀(디지털 기초소양)</t>
        </is>
      </c>
      <c r="G84" s="2" t="n">
        <v>3</v>
      </c>
      <c r="H84" s="2" t="inlineStr">
        <is>
          <t>NET_CIT</t>
        </is>
      </c>
      <c r="I84" s="3" t="inlineStr">
        <is>
          <t>디지털 시민성</t>
        </is>
      </c>
      <c r="J84" s="8" t="inlineStr">
        <is>
          <t>B</t>
        </is>
      </c>
      <c r="K84" s="2" t="inlineStr">
        <is>
          <t>N</t>
        </is>
      </c>
      <c r="L84" s="2" t="inlineStr"/>
      <c r="M84" s="2" t="inlineStr"/>
      <c r="N84" s="6" t="inlineStr">
        <is>
          <t>온라인에서 누군가를 조롱하는 댓글을 봤을 때 가장 바람직한 태도는?</t>
        </is>
      </c>
      <c r="O84" s="6" t="inlineStr">
        <is>
          <t>같이 웃는 댓글을 단다</t>
        </is>
      </c>
      <c r="P84" s="6" t="inlineStr">
        <is>
          <t>캡처해 다른 곳에 퍼뜨린다</t>
        </is>
      </c>
      <c r="Q84" s="6" t="inlineStr">
        <is>
          <t>반응하지 말고 필요하면 신고하거나 도움을 요청한다</t>
        </is>
      </c>
      <c r="R84" s="6" t="inlineStr">
        <is>
          <t>익명이라 괜찮다고 생각한다</t>
        </is>
      </c>
      <c r="S84" s="7" t="n">
        <v>3</v>
      </c>
      <c r="T84" s="6" t="inlineStr">
        <is>
          <t>반응하지 말고 필요하면 신고하거나 도움을 요청한다</t>
        </is>
      </c>
      <c r="U84" s="7" t="inlineStr">
        <is>
          <t>디지털 시민성 기초 판단</t>
        </is>
      </c>
      <c r="V84" s="6" t="inlineStr">
        <is>
          <t>중2 1번 문항풀의 디지털 시민성 영역 진단 문항입니다. 학생이 온라인에서 타인을 배려하고 책임 있게 행동하는지를 확인하는 데 활용합니다.</t>
        </is>
      </c>
      <c r="W84" s="7" t="inlineStr">
        <is>
          <t>1-2-3-4-1-2-3-4-1-2</t>
        </is>
      </c>
    </row>
    <row r="85">
      <c r="A85" s="2" t="inlineStr">
        <is>
          <t>M2-P1-04</t>
        </is>
      </c>
      <c r="B85" s="2" t="inlineStr">
        <is>
          <t>중등</t>
        </is>
      </c>
      <c r="C85" s="2" t="inlineStr">
        <is>
          <t>중2</t>
        </is>
      </c>
      <c r="D85" s="2" t="n">
        <v>1</v>
      </c>
      <c r="E85" s="2" t="n">
        <v>1</v>
      </c>
      <c r="F85" s="3" t="inlineStr">
        <is>
          <t>1번 문항풀(디지털 기초소양)</t>
        </is>
      </c>
      <c r="G85" s="2" t="n">
        <v>4</v>
      </c>
      <c r="H85" s="2" t="inlineStr">
        <is>
          <t>COPY</t>
        </is>
      </c>
      <c r="I85" s="3" t="inlineStr">
        <is>
          <t>저작권 기초</t>
        </is>
      </c>
      <c r="J85" s="8" t="inlineStr">
        <is>
          <t>B</t>
        </is>
      </c>
      <c r="K85" s="2" t="inlineStr">
        <is>
          <t>N</t>
        </is>
      </c>
      <c r="L85" s="2" t="inlineStr"/>
      <c r="M85" s="2" t="inlineStr"/>
      <c r="N85" s="6" t="inlineStr">
        <is>
          <t>인터넷에서 찾은 이미지를 과제에 사용할 때 가장 바른 태도는?</t>
        </is>
      </c>
      <c r="O85" s="6" t="inlineStr">
        <is>
          <t>인터넷에 있으니 마음대로 쓴다</t>
        </is>
      </c>
      <c r="P85" s="6" t="inlineStr">
        <is>
          <t>친구가 쓴 이미지를 그대로 쓴다</t>
        </is>
      </c>
      <c r="Q85" s="6" t="inlineStr">
        <is>
          <t>조금만 바꾸면 괜찮다</t>
        </is>
      </c>
      <c r="R85" s="6" t="inlineStr">
        <is>
          <t>출처와 사용 가능 여부를 확인한다</t>
        </is>
      </c>
      <c r="S85" s="7" t="n">
        <v>4</v>
      </c>
      <c r="T85" s="6" t="inlineStr">
        <is>
          <t>출처와 사용 가능 여부를 확인한다</t>
        </is>
      </c>
      <c r="U85" s="7" t="inlineStr">
        <is>
          <t>저작권 기초 기초 판단</t>
        </is>
      </c>
      <c r="V85" s="6" t="inlineStr">
        <is>
          <t>중2 1번 문항풀의 저작권 기초 영역 진단 문항입니다. 학생이 타인의 저작물을 허락 없이 사용하는 문제를 이해하는지를 확인하는 데 활용합니다.</t>
        </is>
      </c>
      <c r="W85" s="7" t="inlineStr">
        <is>
          <t>1-2-3-4-1-2-3-4-1-2</t>
        </is>
      </c>
    </row>
    <row r="86">
      <c r="A86" s="2" t="inlineStr">
        <is>
          <t>M2-P1-05</t>
        </is>
      </c>
      <c r="B86" s="2" t="inlineStr">
        <is>
          <t>중등</t>
        </is>
      </c>
      <c r="C86" s="2" t="inlineStr">
        <is>
          <t>중2</t>
        </is>
      </c>
      <c r="D86" s="2" t="n">
        <v>1</v>
      </c>
      <c r="E86" s="2" t="n">
        <v>1</v>
      </c>
      <c r="F86" s="3" t="inlineStr">
        <is>
          <t>1번 문항풀(디지털 기초소양)</t>
        </is>
      </c>
      <c r="G86" s="2" t="n">
        <v>5</v>
      </c>
      <c r="H86" s="2" t="inlineStr">
        <is>
          <t>INFO</t>
        </is>
      </c>
      <c r="I86" s="3" t="inlineStr">
        <is>
          <t>정보 신뢰성</t>
        </is>
      </c>
      <c r="J86" s="11" t="inlineStr">
        <is>
          <t>C</t>
        </is>
      </c>
      <c r="K86" s="5" t="inlineStr">
        <is>
          <t>Y</t>
        </is>
      </c>
      <c r="L86" s="5" t="inlineStr">
        <is>
          <t>중2-P1-A2</t>
        </is>
      </c>
      <c r="M86" s="5" t="inlineStr">
        <is>
          <t>비판적 판단 기준문항</t>
        </is>
      </c>
      <c r="N86" s="6" t="inlineStr">
        <is>
          <t>온라인에 올라온 사진이나 영상이 사실과 다를 수 있는 이유로 가장 알맞은 것은?</t>
        </is>
      </c>
      <c r="O86" s="6" t="inlineStr">
        <is>
          <t>편집이나 조작이 가능해서</t>
        </is>
      </c>
      <c r="P86" s="6" t="inlineStr">
        <is>
          <t>화질이 좋아서</t>
        </is>
      </c>
      <c r="Q86" s="6" t="inlineStr">
        <is>
          <t>댓글이 많아서</t>
        </is>
      </c>
      <c r="R86" s="6" t="inlineStr">
        <is>
          <t>색감이 좋아서</t>
        </is>
      </c>
      <c r="S86" s="7" t="n">
        <v>1</v>
      </c>
      <c r="T86" s="6" t="inlineStr">
        <is>
          <t>편집이나 조작이 가능해서</t>
        </is>
      </c>
      <c r="U86" s="7" t="inlineStr">
        <is>
          <t>정보 신뢰성 기초 판단</t>
        </is>
      </c>
      <c r="V86" s="6" t="inlineStr">
        <is>
          <t>중2 1번 문항풀의 정보 신뢰성 영역 진단 문항입니다. 학생이 온라인 정보의 출처와 신뢰도를 판단하는지를 확인하는 데 활용합니다.</t>
        </is>
      </c>
      <c r="W86" s="7" t="inlineStr">
        <is>
          <t>1-2-3-4-1-2-3-4-1-2</t>
        </is>
      </c>
    </row>
    <row r="87">
      <c r="A87" s="2" t="inlineStr">
        <is>
          <t>M2-P1-06</t>
        </is>
      </c>
      <c r="B87" s="2" t="inlineStr">
        <is>
          <t>중등</t>
        </is>
      </c>
      <c r="C87" s="2" t="inlineStr">
        <is>
          <t>중2</t>
        </is>
      </c>
      <c r="D87" s="2" t="n">
        <v>1</v>
      </c>
      <c r="E87" s="2" t="n">
        <v>1</v>
      </c>
      <c r="F87" s="3" t="inlineStr">
        <is>
          <t>1번 문항풀(디지털 기초소양)</t>
        </is>
      </c>
      <c r="G87" s="2" t="n">
        <v>6</v>
      </c>
      <c r="H87" s="2" t="inlineStr">
        <is>
          <t>INFO</t>
        </is>
      </c>
      <c r="I87" s="3" t="inlineStr">
        <is>
          <t>정보 신뢰성</t>
        </is>
      </c>
      <c r="J87" s="11" t="inlineStr">
        <is>
          <t>C</t>
        </is>
      </c>
      <c r="K87" s="2" t="inlineStr">
        <is>
          <t>N</t>
        </is>
      </c>
      <c r="L87" s="2" t="inlineStr"/>
      <c r="M87" s="2" t="inlineStr"/>
      <c r="N87" s="6" t="inlineStr">
        <is>
          <t>기사와 광고성 글을 구분하는 방법으로 가장 알맞은 것은?</t>
        </is>
      </c>
      <c r="O87" s="6" t="inlineStr">
        <is>
          <t>제목 길이만 본다</t>
        </is>
      </c>
      <c r="P87" s="6" t="inlineStr">
        <is>
          <t>작성 목적, 출처, 광고 표시 여부를 본다</t>
        </is>
      </c>
      <c r="Q87" s="6" t="inlineStr">
        <is>
          <t>사진 개수만 본다</t>
        </is>
      </c>
      <c r="R87" s="6" t="inlineStr">
        <is>
          <t>조회 수만 본다</t>
        </is>
      </c>
      <c r="S87" s="7" t="n">
        <v>2</v>
      </c>
      <c r="T87" s="6" t="inlineStr">
        <is>
          <t>작성 목적, 출처, 광고 표시 여부를 본다</t>
        </is>
      </c>
      <c r="U87" s="7" t="inlineStr">
        <is>
          <t>정보 신뢰성 기초 판단</t>
        </is>
      </c>
      <c r="V87" s="6" t="inlineStr">
        <is>
          <t>중2 1번 문항풀의 정보 신뢰성 영역 진단 문항입니다. 학생이 온라인 정보의 출처와 신뢰도를 판단하는지를 확인하는 데 활용합니다.</t>
        </is>
      </c>
      <c r="W87" s="7" t="inlineStr">
        <is>
          <t>1-2-3-4-1-2-3-4-1-2</t>
        </is>
      </c>
    </row>
    <row r="88">
      <c r="A88" s="2" t="inlineStr">
        <is>
          <t>M2-P1-07</t>
        </is>
      </c>
      <c r="B88" s="2" t="inlineStr">
        <is>
          <t>중등</t>
        </is>
      </c>
      <c r="C88" s="2" t="inlineStr">
        <is>
          <t>중2</t>
        </is>
      </c>
      <c r="D88" s="2" t="n">
        <v>1</v>
      </c>
      <c r="E88" s="2" t="n">
        <v>1</v>
      </c>
      <c r="F88" s="3" t="inlineStr">
        <is>
          <t>1번 문항풀(디지털 기초소양)</t>
        </is>
      </c>
      <c r="G88" s="2" t="n">
        <v>7</v>
      </c>
      <c r="H88" s="2" t="inlineStr">
        <is>
          <t>SAFE</t>
        </is>
      </c>
      <c r="I88" s="3" t="inlineStr">
        <is>
          <t>디지털 안전</t>
        </is>
      </c>
      <c r="J88" s="4" t="inlineStr">
        <is>
          <t>A</t>
        </is>
      </c>
      <c r="K88" s="2" t="inlineStr">
        <is>
          <t>N</t>
        </is>
      </c>
      <c r="L88" s="2" t="inlineStr"/>
      <c r="M88" s="2" t="inlineStr"/>
      <c r="N88" s="6" t="inlineStr">
        <is>
          <t>사칭 계정이 의심될 때 가장 적절한 행동은?</t>
        </is>
      </c>
      <c r="O88" s="6" t="inlineStr">
        <is>
          <t>계속 대화해 본다</t>
        </is>
      </c>
      <c r="P88" s="6" t="inlineStr">
        <is>
          <t>링크를 눌러 확인한다</t>
        </is>
      </c>
      <c r="Q88" s="6" t="inlineStr">
        <is>
          <t>차단하거나 신고하고 개인정보를 주지 않는다</t>
        </is>
      </c>
      <c r="R88" s="6" t="inlineStr">
        <is>
          <t>친구 계정으로 다시 연락한다</t>
        </is>
      </c>
      <c r="S88" s="7" t="n">
        <v>3</v>
      </c>
      <c r="T88" s="6" t="inlineStr">
        <is>
          <t>차단하거나 신고하고 개인정보를 주지 않는다</t>
        </is>
      </c>
      <c r="U88" s="7" t="inlineStr">
        <is>
          <t>디지털 안전 기초 판단</t>
        </is>
      </c>
      <c r="V88" s="6" t="inlineStr">
        <is>
          <t>중2 1번 문항풀의 디지털 안전 영역 진단 문항입니다. 학생이 의심스러운 상황을 인식하고 안전하게 대처하는지를 확인하는 데 활용합니다.</t>
        </is>
      </c>
      <c r="W88" s="7" t="inlineStr">
        <is>
          <t>1-2-3-4-1-2-3-4-1-2</t>
        </is>
      </c>
    </row>
    <row r="89">
      <c r="A89" s="2" t="inlineStr">
        <is>
          <t>M2-P1-08</t>
        </is>
      </c>
      <c r="B89" s="2" t="inlineStr">
        <is>
          <t>중등</t>
        </is>
      </c>
      <c r="C89" s="2" t="inlineStr">
        <is>
          <t>중2</t>
        </is>
      </c>
      <c r="D89" s="2" t="n">
        <v>1</v>
      </c>
      <c r="E89" s="2" t="n">
        <v>1</v>
      </c>
      <c r="F89" s="3" t="inlineStr">
        <is>
          <t>1번 문항풀(디지털 기초소양)</t>
        </is>
      </c>
      <c r="G89" s="2" t="n">
        <v>8</v>
      </c>
      <c r="H89" s="2" t="inlineStr">
        <is>
          <t>TRACE</t>
        </is>
      </c>
      <c r="I89" s="3" t="inlineStr">
        <is>
          <t>디지털 발자국</t>
        </is>
      </c>
      <c r="J89" s="8" t="inlineStr">
        <is>
          <t>B</t>
        </is>
      </c>
      <c r="K89" s="2" t="inlineStr">
        <is>
          <t>N</t>
        </is>
      </c>
      <c r="L89" s="2" t="inlineStr"/>
      <c r="M89" s="2" t="inlineStr"/>
      <c r="N89" s="6" t="inlineStr">
        <is>
          <t>온라인에 남긴 기록에 대한 설명으로 가장 알맞은 것은?</t>
        </is>
      </c>
      <c r="O89" s="6" t="inlineStr">
        <is>
          <t>바로 삭제하면 완전히 사라진다</t>
        </is>
      </c>
      <c r="P89" s="6" t="inlineStr">
        <is>
          <t>친구만 보면 괜찮다</t>
        </is>
      </c>
      <c r="Q89" s="6" t="inlineStr">
        <is>
          <t>익명이면 기록이 없다</t>
        </is>
      </c>
      <c r="R89" s="6" t="inlineStr">
        <is>
          <t>다시 퍼지거나 남아 있을 수 있다</t>
        </is>
      </c>
      <c r="S89" s="7" t="n">
        <v>4</v>
      </c>
      <c r="T89" s="6" t="inlineStr">
        <is>
          <t>다시 퍼지거나 남아 있을 수 있다</t>
        </is>
      </c>
      <c r="U89" s="7" t="inlineStr">
        <is>
          <t>디지털 발자국 기초 판단</t>
        </is>
      </c>
      <c r="V89" s="6" t="inlineStr">
        <is>
          <t>중2 1번 문항풀의 디지털 발자국 영역 진단 문항입니다. 학생이 온라인 기록의 지속성과 영향력을 이해하는지를 확인하는 데 활용합니다.</t>
        </is>
      </c>
      <c r="W89" s="7" t="inlineStr">
        <is>
          <t>1-2-3-4-1-2-3-4-1-2</t>
        </is>
      </c>
    </row>
    <row r="90">
      <c r="A90" s="2" t="inlineStr">
        <is>
          <t>M2-P1-09</t>
        </is>
      </c>
      <c r="B90" s="2" t="inlineStr">
        <is>
          <t>중등</t>
        </is>
      </c>
      <c r="C90" s="2" t="inlineStr">
        <is>
          <t>중2</t>
        </is>
      </c>
      <c r="D90" s="2" t="n">
        <v>1</v>
      </c>
      <c r="E90" s="2" t="n">
        <v>1</v>
      </c>
      <c r="F90" s="3" t="inlineStr">
        <is>
          <t>1번 문항풀(디지털 기초소양)</t>
        </is>
      </c>
      <c r="G90" s="2" t="n">
        <v>9</v>
      </c>
      <c r="H90" s="2" t="inlineStr">
        <is>
          <t>USE</t>
        </is>
      </c>
      <c r="I90" s="3" t="inlineStr">
        <is>
          <t>기기 사용 습관</t>
        </is>
      </c>
      <c r="J90" s="11" t="inlineStr">
        <is>
          <t>C</t>
        </is>
      </c>
      <c r="K90" s="2" t="inlineStr">
        <is>
          <t>N</t>
        </is>
      </c>
      <c r="L90" s="2" t="inlineStr"/>
      <c r="M90" s="2" t="inlineStr"/>
      <c r="N90" s="6" t="inlineStr">
        <is>
          <t>디지털 기기로 공부할 때 집중을 높이는 방법으로 가장 알맞은 것은?</t>
        </is>
      </c>
      <c r="O90" s="6" t="inlineStr">
        <is>
          <t>필요한 자료만 열고 방해 요소를 줄인다</t>
        </is>
      </c>
      <c r="P90" s="6" t="inlineStr">
        <is>
          <t>알림이 올 때마다 확인한다</t>
        </is>
      </c>
      <c r="Q90" s="6" t="inlineStr">
        <is>
          <t>다른 영상도 같이 본다</t>
        </is>
      </c>
      <c r="R90" s="6" t="inlineStr">
        <is>
          <t>채팅을 켜 둔다</t>
        </is>
      </c>
      <c r="S90" s="7" t="n">
        <v>1</v>
      </c>
      <c r="T90" s="6" t="inlineStr">
        <is>
          <t>필요한 자료만 열고 방해 요소를 줄인다</t>
        </is>
      </c>
      <c r="U90" s="7" t="inlineStr">
        <is>
          <t>기기 사용 습관 기초 판단</t>
        </is>
      </c>
      <c r="V90" s="6" t="inlineStr">
        <is>
          <t>중2 1번 문항풀의 기기 사용 습관 영역 진단 문항입니다. 학생이 학습 상황에 맞게 기기를 사용하는지를 확인하는 데 활용합니다.</t>
        </is>
      </c>
      <c r="W90" s="7" t="inlineStr">
        <is>
          <t>1-2-3-4-1-2-3-4-1-2</t>
        </is>
      </c>
    </row>
    <row r="91">
      <c r="A91" s="2" t="inlineStr">
        <is>
          <t>M2-P1-10</t>
        </is>
      </c>
      <c r="B91" s="2" t="inlineStr">
        <is>
          <t>중등</t>
        </is>
      </c>
      <c r="C91" s="2" t="inlineStr">
        <is>
          <t>중2</t>
        </is>
      </c>
      <c r="D91" s="2" t="n">
        <v>1</v>
      </c>
      <c r="E91" s="2" t="n">
        <v>1</v>
      </c>
      <c r="F91" s="3" t="inlineStr">
        <is>
          <t>1번 문항풀(디지털 기초소양)</t>
        </is>
      </c>
      <c r="G91" s="2" t="n">
        <v>10</v>
      </c>
      <c r="H91" s="2" t="inlineStr">
        <is>
          <t>RESP</t>
        </is>
      </c>
      <c r="I91" s="3" t="inlineStr">
        <is>
          <t>책임감</t>
        </is>
      </c>
      <c r="J91" s="8" t="inlineStr">
        <is>
          <t>B</t>
        </is>
      </c>
      <c r="K91" s="2" t="inlineStr">
        <is>
          <t>N</t>
        </is>
      </c>
      <c r="L91" s="2" t="inlineStr"/>
      <c r="M91" s="2" t="inlineStr"/>
      <c r="N91" s="6" t="inlineStr">
        <is>
          <t>공동 문서를 사용할 때 가장 바람직한 행동은?</t>
        </is>
      </c>
      <c r="O91" s="6" t="inlineStr">
        <is>
          <t>다른 사람 내용을 마음대로 지운다</t>
        </is>
      </c>
      <c r="P91" s="6" t="inlineStr">
        <is>
          <t>누가 무엇을 했는지 알 수 있게 책임 있게 수정한다</t>
        </is>
      </c>
      <c r="Q91" s="6" t="inlineStr">
        <is>
          <t>내가 한 일만 중요하다고 생각한다</t>
        </is>
      </c>
      <c r="R91" s="6" t="inlineStr">
        <is>
          <t>마감 직전에만 들어간다</t>
        </is>
      </c>
      <c r="S91" s="7" t="n">
        <v>2</v>
      </c>
      <c r="T91" s="6" t="inlineStr">
        <is>
          <t>누가 무엇을 했는지 알 수 있게 책임 있게 수정한다</t>
        </is>
      </c>
      <c r="U91" s="7" t="inlineStr">
        <is>
          <t>책임감 기초 판단</t>
        </is>
      </c>
      <c r="V91" s="6" t="inlineStr">
        <is>
          <t>중2 1번 문항풀의 책임감 영역 진단 문항입니다. 학생이 학교·공동 환경에서 디지털 규칙을 지키는지를 확인하는 데 활용합니다.</t>
        </is>
      </c>
      <c r="W91" s="7" t="inlineStr">
        <is>
          <t>1-2-3-4-1-2-3-4-1-2</t>
        </is>
      </c>
    </row>
    <row r="92">
      <c r="A92" s="9" t="inlineStr">
        <is>
          <t>M2-P2-01</t>
        </is>
      </c>
      <c r="B92" s="9" t="inlineStr">
        <is>
          <t>중등</t>
        </is>
      </c>
      <c r="C92" s="9" t="inlineStr">
        <is>
          <t>중2</t>
        </is>
      </c>
      <c r="D92" s="9" t="n">
        <v>2</v>
      </c>
      <c r="E92" s="9" t="n">
        <v>2</v>
      </c>
      <c r="F92" s="10" t="inlineStr">
        <is>
          <t>2번 문항풀(AI 활용 기초)</t>
        </is>
      </c>
      <c r="G92" s="9" t="n">
        <v>1</v>
      </c>
      <c r="H92" s="9" t="inlineStr">
        <is>
          <t>AIU</t>
        </is>
      </c>
      <c r="I92" s="10" t="inlineStr">
        <is>
          <t>AI 이해</t>
        </is>
      </c>
      <c r="J92" s="4" t="inlineStr">
        <is>
          <t>A</t>
        </is>
      </c>
      <c r="K92" s="5" t="inlineStr">
        <is>
          <t>Y</t>
        </is>
      </c>
      <c r="L92" s="5" t="inlineStr">
        <is>
          <t>중2-P2-A1</t>
        </is>
      </c>
      <c r="M92" s="5" t="inlineStr">
        <is>
          <t>기초 기준문항</t>
        </is>
      </c>
      <c r="N92" s="6" t="inlineStr">
        <is>
          <t>AI가 결과를 만드는 방식에 대한 설명으로 가장 알맞은 것은?</t>
        </is>
      </c>
      <c r="O92" s="6" t="inlineStr">
        <is>
          <t>사람처럼 마음을 읽는다</t>
        </is>
      </c>
      <c r="P92" s="6" t="inlineStr">
        <is>
          <t>항상 공평하다</t>
        </is>
      </c>
      <c r="Q92" s="6" t="inlineStr">
        <is>
          <t>데이터의 패턴을 바탕으로 결과를 만든다</t>
        </is>
      </c>
      <c r="R92" s="6" t="inlineStr">
        <is>
          <t>실수하지 않는다</t>
        </is>
      </c>
      <c r="S92" s="7" t="n">
        <v>3</v>
      </c>
      <c r="T92" s="6" t="inlineStr">
        <is>
          <t>데이터의 패턴을 바탕으로 결과를 만든다</t>
        </is>
      </c>
      <c r="U92" s="7" t="inlineStr">
        <is>
          <t>AI 이해 기초 판단</t>
        </is>
      </c>
      <c r="V92" s="6" t="inlineStr">
        <is>
          <t>중2 2번 문항풀의 AI 이해 영역 진단 문항입니다. 학생이 AI의 기본 원리와 한계를 구분하는지를 확인하는 데 활용합니다.</t>
        </is>
      </c>
      <c r="W92" s="7" t="inlineStr">
        <is>
          <t>3-4-1-2-3-4-1-2-3-4</t>
        </is>
      </c>
    </row>
    <row r="93">
      <c r="A93" s="9" t="inlineStr">
        <is>
          <t>M2-P2-02</t>
        </is>
      </c>
      <c r="B93" s="9" t="inlineStr">
        <is>
          <t>중등</t>
        </is>
      </c>
      <c r="C93" s="9" t="inlineStr">
        <is>
          <t>중2</t>
        </is>
      </c>
      <c r="D93" s="9" t="n">
        <v>2</v>
      </c>
      <c r="E93" s="9" t="n">
        <v>2</v>
      </c>
      <c r="F93" s="10" t="inlineStr">
        <is>
          <t>2번 문항풀(AI 활용 기초)</t>
        </is>
      </c>
      <c r="G93" s="9" t="n">
        <v>2</v>
      </c>
      <c r="H93" s="9" t="inlineStr">
        <is>
          <t>AIU</t>
        </is>
      </c>
      <c r="I93" s="10" t="inlineStr">
        <is>
          <t>AI 이해</t>
        </is>
      </c>
      <c r="J93" s="4" t="inlineStr">
        <is>
          <t>A</t>
        </is>
      </c>
      <c r="K93" s="9" t="inlineStr">
        <is>
          <t>N</t>
        </is>
      </c>
      <c r="L93" s="9" t="inlineStr"/>
      <c r="M93" s="9" t="inlineStr"/>
      <c r="N93" s="6" t="inlineStr">
        <is>
          <t>AI 결과에 편향이 생길 수 있는 이유로 가장 알맞은 것은?</t>
        </is>
      </c>
      <c r="O93" s="6" t="inlineStr">
        <is>
          <t>기기 화면이 작아서</t>
        </is>
      </c>
      <c r="P93" s="6" t="inlineStr">
        <is>
          <t>앱 이름이 길어서</t>
        </is>
      </c>
      <c r="Q93" s="6" t="inlineStr">
        <is>
          <t>배터리가 부족해서</t>
        </is>
      </c>
      <c r="R93" s="6" t="inlineStr">
        <is>
          <t>사용한 데이터가 한쪽으로 치우쳐 있을 수 있어서</t>
        </is>
      </c>
      <c r="S93" s="7" t="n">
        <v>4</v>
      </c>
      <c r="T93" s="6" t="inlineStr">
        <is>
          <t>사용한 데이터가 한쪽으로 치우쳐 있을 수 있어서</t>
        </is>
      </c>
      <c r="U93" s="7" t="inlineStr">
        <is>
          <t>AI 이해 기초 판단</t>
        </is>
      </c>
      <c r="V93" s="6" t="inlineStr">
        <is>
          <t>중2 2번 문항풀의 AI 이해 영역 진단 문항입니다. 학생이 AI의 기본 원리와 한계를 구분하는지를 확인하는 데 활용합니다.</t>
        </is>
      </c>
      <c r="W93" s="7" t="inlineStr">
        <is>
          <t>3-4-1-2-3-4-1-2-3-4</t>
        </is>
      </c>
    </row>
    <row r="94">
      <c r="A94" s="9" t="inlineStr">
        <is>
          <t>M2-P2-03</t>
        </is>
      </c>
      <c r="B94" s="9" t="inlineStr">
        <is>
          <t>중등</t>
        </is>
      </c>
      <c r="C94" s="9" t="inlineStr">
        <is>
          <t>중2</t>
        </is>
      </c>
      <c r="D94" s="9" t="n">
        <v>2</v>
      </c>
      <c r="E94" s="9" t="n">
        <v>2</v>
      </c>
      <c r="F94" s="10" t="inlineStr">
        <is>
          <t>2번 문항풀(AI 활용 기초)</t>
        </is>
      </c>
      <c r="G94" s="9" t="n">
        <v>3</v>
      </c>
      <c r="H94" s="9" t="inlineStr">
        <is>
          <t>AIA</t>
        </is>
      </c>
      <c r="I94" s="10" t="inlineStr">
        <is>
          <t>AI 활용 태도</t>
        </is>
      </c>
      <c r="J94" s="8" t="inlineStr">
        <is>
          <t>B</t>
        </is>
      </c>
      <c r="K94" s="9" t="inlineStr">
        <is>
          <t>N</t>
        </is>
      </c>
      <c r="L94" s="9" t="inlineStr"/>
      <c r="M94" s="9" t="inlineStr"/>
      <c r="N94" s="6" t="inlineStr">
        <is>
          <t>AI가 작성한 문장을 보고서에 사용할 때 가장 바람직한 행동은?</t>
        </is>
      </c>
      <c r="O94" s="6" t="inlineStr">
        <is>
          <t>내 주제에 맞게 사실 확인 후 수정해서 사용한다</t>
        </is>
      </c>
      <c r="P94" s="6" t="inlineStr">
        <is>
          <t>출처와 내용 검토 없이 그대로 쓴다</t>
        </is>
      </c>
      <c r="Q94" s="6" t="inlineStr">
        <is>
          <t>친구와 똑같이 복사한다</t>
        </is>
      </c>
      <c r="R94" s="6" t="inlineStr">
        <is>
          <t>조금만 순서를 바꿔서 낸다</t>
        </is>
      </c>
      <c r="S94" s="7" t="n">
        <v>1</v>
      </c>
      <c r="T94" s="6" t="inlineStr">
        <is>
          <t>내 주제에 맞게 사실 확인 후 수정해서 사용한다</t>
        </is>
      </c>
      <c r="U94" s="7" t="inlineStr">
        <is>
          <t>AI 활용 태도 기초 판단</t>
        </is>
      </c>
      <c r="V94" s="6" t="inlineStr">
        <is>
          <t>중2 2번 문항풀의 AI 활용 태도 영역 진단 문항입니다. 학생이 AI를 무비판적으로 사용하지 않고 검토하려는지를 확인하는 데 활용합니다.</t>
        </is>
      </c>
      <c r="W94" s="7" t="inlineStr">
        <is>
          <t>3-4-1-2-3-4-1-2-3-4</t>
        </is>
      </c>
    </row>
    <row r="95">
      <c r="A95" s="9" t="inlineStr">
        <is>
          <t>M2-P2-04</t>
        </is>
      </c>
      <c r="B95" s="9" t="inlineStr">
        <is>
          <t>중등</t>
        </is>
      </c>
      <c r="C95" s="9" t="inlineStr">
        <is>
          <t>중2</t>
        </is>
      </c>
      <c r="D95" s="9" t="n">
        <v>2</v>
      </c>
      <c r="E95" s="9" t="n">
        <v>2</v>
      </c>
      <c r="F95" s="10" t="inlineStr">
        <is>
          <t>2번 문항풀(AI 활용 기초)</t>
        </is>
      </c>
      <c r="G95" s="9" t="n">
        <v>4</v>
      </c>
      <c r="H95" s="9" t="inlineStr">
        <is>
          <t>DPS</t>
        </is>
      </c>
      <c r="I95" s="10" t="inlineStr">
        <is>
          <t>문제해결</t>
        </is>
      </c>
      <c r="J95" s="8" t="inlineStr">
        <is>
          <t>B</t>
        </is>
      </c>
      <c r="K95" s="9" t="inlineStr">
        <is>
          <t>N</t>
        </is>
      </c>
      <c r="L95" s="9" t="inlineStr"/>
      <c r="M95" s="9" t="inlineStr"/>
      <c r="N95" s="6" t="inlineStr">
        <is>
          <t>디지털 문제를 해결할 때 가장 효과적인 태도는?</t>
        </is>
      </c>
      <c r="O95" s="6" t="inlineStr">
        <is>
          <t>감으로 아무 버튼이나 누른다</t>
        </is>
      </c>
      <c r="P95" s="6" t="inlineStr">
        <is>
          <t>문제를 작은 단계로 나누어 확인한다</t>
        </is>
      </c>
      <c r="Q95" s="6" t="inlineStr">
        <is>
          <t>오류가 나면 바로 포기한다</t>
        </is>
      </c>
      <c r="R95" s="6" t="inlineStr">
        <is>
          <t>기기 탓만 한다</t>
        </is>
      </c>
      <c r="S95" s="7" t="n">
        <v>2</v>
      </c>
      <c r="T95" s="6" t="inlineStr">
        <is>
          <t>문제를 작은 단계로 나누어 확인한다</t>
        </is>
      </c>
      <c r="U95" s="7" t="inlineStr">
        <is>
          <t>문제해결 기초 판단</t>
        </is>
      </c>
      <c r="V95" s="6" t="inlineStr">
        <is>
          <t>중2 2번 문항풀의 문제해결 영역 진단 문항입니다. 학생이 디지털 문제를 단계적으로 해결하려는지를 확인하는 데 활용합니다.</t>
        </is>
      </c>
      <c r="W95" s="7" t="inlineStr">
        <is>
          <t>3-4-1-2-3-4-1-2-3-4</t>
        </is>
      </c>
    </row>
    <row r="96">
      <c r="A96" s="9" t="inlineStr">
        <is>
          <t>M2-P2-05</t>
        </is>
      </c>
      <c r="B96" s="9" t="inlineStr">
        <is>
          <t>중등</t>
        </is>
      </c>
      <c r="C96" s="9" t="inlineStr">
        <is>
          <t>중2</t>
        </is>
      </c>
      <c r="D96" s="9" t="n">
        <v>2</v>
      </c>
      <c r="E96" s="9" t="n">
        <v>2</v>
      </c>
      <c r="F96" s="10" t="inlineStr">
        <is>
          <t>2번 문항풀(AI 활용 기초)</t>
        </is>
      </c>
      <c r="G96" s="9" t="n">
        <v>5</v>
      </c>
      <c r="H96" s="9" t="inlineStr">
        <is>
          <t>AIC</t>
        </is>
      </c>
      <c r="I96" s="10" t="inlineStr">
        <is>
          <t>결과 검토</t>
        </is>
      </c>
      <c r="J96" s="11" t="inlineStr">
        <is>
          <t>C</t>
        </is>
      </c>
      <c r="K96" s="5" t="inlineStr">
        <is>
          <t>Y</t>
        </is>
      </c>
      <c r="L96" s="5" t="inlineStr">
        <is>
          <t>중2-P2-A2</t>
        </is>
      </c>
      <c r="M96" s="5" t="inlineStr">
        <is>
          <t>비판적 판단 기준문항</t>
        </is>
      </c>
      <c r="N96" s="6" t="inlineStr">
        <is>
          <t>AI가 알려 준 정보가 의심될 때 가장 알맞은 행동은?</t>
        </is>
      </c>
      <c r="O96" s="6" t="inlineStr">
        <is>
          <t>AI가 똑똑하니 그대로 믿는다</t>
        </is>
      </c>
      <c r="P96" s="6" t="inlineStr">
        <is>
          <t>긴 문장이면 맞다고 본다</t>
        </is>
      </c>
      <c r="Q96" s="6" t="inlineStr">
        <is>
          <t>출처와 다른 자료를 함께 비교한다</t>
        </is>
      </c>
      <c r="R96" s="6" t="inlineStr">
        <is>
          <t>친구가 좋다고 하면 사용한다</t>
        </is>
      </c>
      <c r="S96" s="7" t="n">
        <v>3</v>
      </c>
      <c r="T96" s="6" t="inlineStr">
        <is>
          <t>출처와 다른 자료를 함께 비교한다</t>
        </is>
      </c>
      <c r="U96" s="7" t="inlineStr">
        <is>
          <t>결과 검토 기초 판단</t>
        </is>
      </c>
      <c r="V96" s="6" t="inlineStr">
        <is>
          <t>중2 2번 문항풀의 결과 검토 영역 진단 문항입니다. 학생이 AI·디지털 결과물을 근거 중심으로 다시 확인하는지를 확인하는 데 활용합니다.</t>
        </is>
      </c>
      <c r="W96" s="7" t="inlineStr">
        <is>
          <t>3-4-1-2-3-4-1-2-3-4</t>
        </is>
      </c>
    </row>
    <row r="97">
      <c r="A97" s="9" t="inlineStr">
        <is>
          <t>M2-P2-06</t>
        </is>
      </c>
      <c r="B97" s="9" t="inlineStr">
        <is>
          <t>중등</t>
        </is>
      </c>
      <c r="C97" s="9" t="inlineStr">
        <is>
          <t>중2</t>
        </is>
      </c>
      <c r="D97" s="9" t="n">
        <v>2</v>
      </c>
      <c r="E97" s="9" t="n">
        <v>2</v>
      </c>
      <c r="F97" s="10" t="inlineStr">
        <is>
          <t>2번 문항풀(AI 활용 기초)</t>
        </is>
      </c>
      <c r="G97" s="9" t="n">
        <v>6</v>
      </c>
      <c r="H97" s="9" t="inlineStr">
        <is>
          <t>AIE</t>
        </is>
      </c>
      <c r="I97" s="10" t="inlineStr">
        <is>
          <t>책임 있는 활용</t>
        </is>
      </c>
      <c r="J97" s="11" t="inlineStr">
        <is>
          <t>C</t>
        </is>
      </c>
      <c r="K97" s="9" t="inlineStr">
        <is>
          <t>N</t>
        </is>
      </c>
      <c r="L97" s="9" t="inlineStr"/>
      <c r="M97" s="9" t="inlineStr"/>
      <c r="N97" s="6" t="inlineStr">
        <is>
          <t>딥페이크나 가짜 이미지를 장난으로 만드는 행동의 문제로 가장 알맞은 것은?</t>
        </is>
      </c>
      <c r="O97" s="6" t="inlineStr">
        <is>
          <t>용량이 커진다</t>
        </is>
      </c>
      <c r="P97" s="6" t="inlineStr">
        <is>
          <t>배터리를 많이 쓴다</t>
        </is>
      </c>
      <c r="Q97" s="6" t="inlineStr">
        <is>
          <t>화면이 흐려진다</t>
        </is>
      </c>
      <c r="R97" s="6" t="inlineStr">
        <is>
          <t>사람을 속이거나 피해를 줄 수 있다</t>
        </is>
      </c>
      <c r="S97" s="7" t="n">
        <v>4</v>
      </c>
      <c r="T97" s="6" t="inlineStr">
        <is>
          <t>사람을 속이거나 피해를 줄 수 있다</t>
        </is>
      </c>
      <c r="U97" s="7" t="inlineStr">
        <is>
          <t>책임 있는 활용 기초 판단</t>
        </is>
      </c>
      <c r="V97" s="6" t="inlineStr">
        <is>
          <t>중2 2번 문항풀의 책임 있는 활용 영역 진단 문항입니다. 학생이 AI·디지털 도구를 타인에게 해를 주지 않게 사용하는지를 확인하는 데 활용합니다.</t>
        </is>
      </c>
      <c r="W97" s="7" t="inlineStr">
        <is>
          <t>3-4-1-2-3-4-1-2-3-4</t>
        </is>
      </c>
    </row>
    <row r="98">
      <c r="A98" s="9" t="inlineStr">
        <is>
          <t>M2-P2-07</t>
        </is>
      </c>
      <c r="B98" s="9" t="inlineStr">
        <is>
          <t>중등</t>
        </is>
      </c>
      <c r="C98" s="9" t="inlineStr">
        <is>
          <t>중2</t>
        </is>
      </c>
      <c r="D98" s="9" t="n">
        <v>2</v>
      </c>
      <c r="E98" s="9" t="n">
        <v>2</v>
      </c>
      <c r="F98" s="10" t="inlineStr">
        <is>
          <t>2번 문항풀(AI 활용 기초)</t>
        </is>
      </c>
      <c r="G98" s="9" t="n">
        <v>7</v>
      </c>
      <c r="H98" s="9" t="inlineStr">
        <is>
          <t>COL</t>
        </is>
      </c>
      <c r="I98" s="10" t="inlineStr">
        <is>
          <t>협업 태도</t>
        </is>
      </c>
      <c r="J98" s="4" t="inlineStr">
        <is>
          <t>A</t>
        </is>
      </c>
      <c r="K98" s="9" t="inlineStr">
        <is>
          <t>N</t>
        </is>
      </c>
      <c r="L98" s="9" t="inlineStr"/>
      <c r="M98" s="9" t="inlineStr"/>
      <c r="N98" s="6" t="inlineStr">
        <is>
          <t>디지털 협업에서 가장 바람직한 행동은?</t>
        </is>
      </c>
      <c r="O98" s="6" t="inlineStr">
        <is>
          <t>기여한 내용과 출처를 함께 정리한다</t>
        </is>
      </c>
      <c r="P98" s="6" t="inlineStr">
        <is>
          <t>다른 사람 기여를 내 것처럼 적는다</t>
        </is>
      </c>
      <c r="Q98" s="6" t="inlineStr">
        <is>
          <t>빨리 끝내려고 아무나 이름만 넣는다</t>
        </is>
      </c>
      <c r="R98" s="6" t="inlineStr">
        <is>
          <t>수정 기록을 모두 지운다</t>
        </is>
      </c>
      <c r="S98" s="7" t="n">
        <v>1</v>
      </c>
      <c r="T98" s="6" t="inlineStr">
        <is>
          <t>기여한 내용과 출처를 함께 정리한다</t>
        </is>
      </c>
      <c r="U98" s="7" t="inlineStr">
        <is>
          <t>협업 태도 기초 판단</t>
        </is>
      </c>
      <c r="V98" s="6" t="inlineStr">
        <is>
          <t>중2 2번 문항풀의 협업 태도 영역 진단 문항입니다. 학생이 디지털 환경에서 역할을 나누고 협력하는지를 확인하는 데 활용합니다.</t>
        </is>
      </c>
      <c r="W98" s="7" t="inlineStr">
        <is>
          <t>3-4-1-2-3-4-1-2-3-4</t>
        </is>
      </c>
    </row>
    <row r="99">
      <c r="A99" s="9" t="inlineStr">
        <is>
          <t>M2-P2-08</t>
        </is>
      </c>
      <c r="B99" s="9" t="inlineStr">
        <is>
          <t>중등</t>
        </is>
      </c>
      <c r="C99" s="9" t="inlineStr">
        <is>
          <t>중2</t>
        </is>
      </c>
      <c r="D99" s="9" t="n">
        <v>2</v>
      </c>
      <c r="E99" s="9" t="n">
        <v>2</v>
      </c>
      <c r="F99" s="10" t="inlineStr">
        <is>
          <t>2번 문항풀(AI 활용 기초)</t>
        </is>
      </c>
      <c r="G99" s="9" t="n">
        <v>8</v>
      </c>
      <c r="H99" s="9" t="inlineStr">
        <is>
          <t>SELF</t>
        </is>
      </c>
      <c r="I99" s="10" t="inlineStr">
        <is>
          <t>자기주도성</t>
        </is>
      </c>
      <c r="J99" s="8" t="inlineStr">
        <is>
          <t>B</t>
        </is>
      </c>
      <c r="K99" s="9" t="inlineStr">
        <is>
          <t>N</t>
        </is>
      </c>
      <c r="L99" s="9" t="inlineStr"/>
      <c r="M99" s="9" t="inlineStr"/>
      <c r="N99" s="6" t="inlineStr">
        <is>
          <t>새로운 기능을 익힐 때 좋은 태도로 가장 알맞은 것은?</t>
        </is>
      </c>
      <c r="O99" s="6" t="inlineStr">
        <is>
          <t>실수할까 봐 시도하지 않는다</t>
        </is>
      </c>
      <c r="P99" s="6" t="inlineStr">
        <is>
          <t>도움말을 참고하며 직접 실험해 본다</t>
        </is>
      </c>
      <c r="Q99" s="6" t="inlineStr">
        <is>
          <t>친구가 알려 줄 때까지 기다린다</t>
        </is>
      </c>
      <c r="R99" s="6" t="inlineStr">
        <is>
          <t>익숙한 것만 사용한다</t>
        </is>
      </c>
      <c r="S99" s="7" t="n">
        <v>2</v>
      </c>
      <c r="T99" s="6" t="inlineStr">
        <is>
          <t>도움말을 참고하며 직접 실험해 본다</t>
        </is>
      </c>
      <c r="U99" s="7" t="inlineStr">
        <is>
          <t>자기주도성 기초 판단</t>
        </is>
      </c>
      <c r="V99" s="6" t="inlineStr">
        <is>
          <t>중2 2번 문항풀의 자기주도성 영역 진단 문항입니다. 학생이 새로운 디지털 도구를 스스로 시도하고 학습하려는지를 확인하는 데 활용합니다.</t>
        </is>
      </c>
      <c r="W99" s="7" t="inlineStr">
        <is>
          <t>3-4-1-2-3-4-1-2-3-4</t>
        </is>
      </c>
    </row>
    <row r="100">
      <c r="A100" s="9" t="inlineStr">
        <is>
          <t>M2-P2-09</t>
        </is>
      </c>
      <c r="B100" s="9" t="inlineStr">
        <is>
          <t>중등</t>
        </is>
      </c>
      <c r="C100" s="9" t="inlineStr">
        <is>
          <t>중2</t>
        </is>
      </c>
      <c r="D100" s="9" t="n">
        <v>2</v>
      </c>
      <c r="E100" s="9" t="n">
        <v>2</v>
      </c>
      <c r="F100" s="10" t="inlineStr">
        <is>
          <t>2번 문항풀(AI 활용 기초)</t>
        </is>
      </c>
      <c r="G100" s="9" t="n">
        <v>9</v>
      </c>
      <c r="H100" s="9" t="inlineStr">
        <is>
          <t>DATA</t>
        </is>
      </c>
      <c r="I100" s="10" t="inlineStr">
        <is>
          <t>데이터 이해</t>
        </is>
      </c>
      <c r="J100" s="11" t="inlineStr">
        <is>
          <t>C</t>
        </is>
      </c>
      <c r="K100" s="9" t="inlineStr">
        <is>
          <t>N</t>
        </is>
      </c>
      <c r="L100" s="9" t="inlineStr"/>
      <c r="M100" s="9" t="inlineStr"/>
      <c r="N100" s="6" t="inlineStr">
        <is>
          <t>AI의 결과 품질에 영향을 주는 요소로 가장 중요한 것은?</t>
        </is>
      </c>
      <c r="O100" s="6" t="inlineStr">
        <is>
          <t>배경 음악</t>
        </is>
      </c>
      <c r="P100" s="6" t="inlineStr">
        <is>
          <t>기기 무게</t>
        </is>
      </c>
      <c r="Q100" s="6" t="inlineStr">
        <is>
          <t>데이터의 질과 양</t>
        </is>
      </c>
      <c r="R100" s="6" t="inlineStr">
        <is>
          <t>화면 밝기</t>
        </is>
      </c>
      <c r="S100" s="7" t="n">
        <v>3</v>
      </c>
      <c r="T100" s="6" t="inlineStr">
        <is>
          <t>데이터의 질과 양</t>
        </is>
      </c>
      <c r="U100" s="7" t="inlineStr">
        <is>
          <t>데이터 이해 기초 판단</t>
        </is>
      </c>
      <c r="V100" s="6" t="inlineStr">
        <is>
          <t>중2 2번 문항풀의 데이터 이해 영역 진단 문항입니다. 학생이 데이터가 결과에 영향을 준다는 점을 이해하는지를 확인하는 데 활용합니다.</t>
        </is>
      </c>
      <c r="W100" s="7" t="inlineStr">
        <is>
          <t>3-4-1-2-3-4-1-2-3-4</t>
        </is>
      </c>
    </row>
    <row r="101">
      <c r="A101" s="9" t="inlineStr">
        <is>
          <t>M2-P2-10</t>
        </is>
      </c>
      <c r="B101" s="9" t="inlineStr">
        <is>
          <t>중등</t>
        </is>
      </c>
      <c r="C101" s="9" t="inlineStr">
        <is>
          <t>중2</t>
        </is>
      </c>
      <c r="D101" s="9" t="n">
        <v>2</v>
      </c>
      <c r="E101" s="9" t="n">
        <v>2</v>
      </c>
      <c r="F101" s="10" t="inlineStr">
        <is>
          <t>2번 문항풀(AI 활용 기초)</t>
        </is>
      </c>
      <c r="G101" s="9" t="n">
        <v>10</v>
      </c>
      <c r="H101" s="9" t="inlineStr">
        <is>
          <t>CARE</t>
        </is>
      </c>
      <c r="I101" s="10" t="inlineStr">
        <is>
          <t>진로 인식</t>
        </is>
      </c>
      <c r="J101" s="8" t="inlineStr">
        <is>
          <t>B</t>
        </is>
      </c>
      <c r="K101" s="9" t="inlineStr">
        <is>
          <t>N</t>
        </is>
      </c>
      <c r="L101" s="9" t="inlineStr"/>
      <c r="M101" s="9" t="inlineStr"/>
      <c r="N101" s="6" t="inlineStr">
        <is>
          <t>AI·데이터 역량이 미래 직업에서 중요한 이유로 가장 알맞은 것은?</t>
        </is>
      </c>
      <c r="O101" s="6" t="inlineStr">
        <is>
          <t>일부 개발자만 써서</t>
        </is>
      </c>
      <c r="P101" s="6" t="inlineStr">
        <is>
          <t>학교 밖에서는 필요 없어서</t>
        </is>
      </c>
      <c r="Q101" s="6" t="inlineStr">
        <is>
          <t>시험 과목에만 나오기 때문에</t>
        </is>
      </c>
      <c r="R101" s="6" t="inlineStr">
        <is>
          <t>다양한 분야에서 문제 해결과 의사결정에 활용되기 때문에</t>
        </is>
      </c>
      <c r="S101" s="7" t="n">
        <v>4</v>
      </c>
      <c r="T101" s="6" t="inlineStr">
        <is>
          <t>다양한 분야에서 문제 해결과 의사결정에 활용되기 때문에</t>
        </is>
      </c>
      <c r="U101" s="7" t="inlineStr">
        <is>
          <t>진로 인식 기초 판단</t>
        </is>
      </c>
      <c r="V101" s="6" t="inlineStr">
        <is>
          <t>중2 2번 문항풀의 진로 인식 영역 진단 문항입니다. 학생이 디지털 역량과 진로의 연결성을 인식하는지를 확인하는 데 활용합니다.</t>
        </is>
      </c>
      <c r="W101" s="7" t="inlineStr">
        <is>
          <t>3-4-1-2-3-4-1-2-3-4</t>
        </is>
      </c>
    </row>
    <row r="102">
      <c r="A102" s="2" t="inlineStr">
        <is>
          <t>M3-P1-01</t>
        </is>
      </c>
      <c r="B102" s="2" t="inlineStr">
        <is>
          <t>중등</t>
        </is>
      </c>
      <c r="C102" s="2" t="inlineStr">
        <is>
          <t>중3</t>
        </is>
      </c>
      <c r="D102" s="2" t="n">
        <v>1</v>
      </c>
      <c r="E102" s="2" t="n">
        <v>1</v>
      </c>
      <c r="F102" s="3" t="inlineStr">
        <is>
          <t>1번 문항풀(디지털 기초소양)</t>
        </is>
      </c>
      <c r="G102" s="2" t="n">
        <v>1</v>
      </c>
      <c r="H102" s="2" t="inlineStr">
        <is>
          <t>PRIV</t>
        </is>
      </c>
      <c r="I102" s="3" t="inlineStr">
        <is>
          <t>개인정보 보호</t>
        </is>
      </c>
      <c r="J102" s="4" t="inlineStr">
        <is>
          <t>A</t>
        </is>
      </c>
      <c r="K102" s="5" t="inlineStr">
        <is>
          <t>Y</t>
        </is>
      </c>
      <c r="L102" s="5" t="inlineStr">
        <is>
          <t>중3-P1-A1</t>
        </is>
      </c>
      <c r="M102" s="5" t="inlineStr">
        <is>
          <t>기초 기준문항</t>
        </is>
      </c>
      <c r="N102" s="6" t="inlineStr">
        <is>
          <t>공용 컴퓨터에서 이메일을 확인한 뒤 가장 바람직한 행동은?</t>
        </is>
      </c>
      <c r="O102" s="6" t="inlineStr">
        <is>
          <t>브라우저를 그냥 닫는다</t>
        </is>
      </c>
      <c r="P102" s="6" t="inlineStr">
        <is>
          <t>로그아웃하고 저장된 정보를 확인한다</t>
        </is>
      </c>
      <c r="Q102" s="6" t="inlineStr">
        <is>
          <t>다음 사람이 알아서 하게 둔다</t>
        </is>
      </c>
      <c r="R102" s="6" t="inlineStr">
        <is>
          <t>자동 로그인 상태로 둔다</t>
        </is>
      </c>
      <c r="S102" s="7" t="n">
        <v>2</v>
      </c>
      <c r="T102" s="6" t="inlineStr">
        <is>
          <t>로그아웃하고 저장된 정보를 확인한다</t>
        </is>
      </c>
      <c r="U102" s="7" t="inlineStr">
        <is>
          <t>개인정보 보호 기초 판단</t>
        </is>
      </c>
      <c r="V102" s="6" t="inlineStr">
        <is>
          <t>중3 1번 문항풀의 개인정보 보호 영역 진단 문항입니다. 학생이 개인정보 노출 위험을 인식하고 안전한 대응을 선택하는지를 확인하는 데 활용합니다.</t>
        </is>
      </c>
      <c r="W102" s="7" t="inlineStr">
        <is>
          <t>2-3-4-1-2-3-4-1-2-3</t>
        </is>
      </c>
    </row>
    <row r="103">
      <c r="A103" s="2" t="inlineStr">
        <is>
          <t>M3-P1-02</t>
        </is>
      </c>
      <c r="B103" s="2" t="inlineStr">
        <is>
          <t>중등</t>
        </is>
      </c>
      <c r="C103" s="2" t="inlineStr">
        <is>
          <t>중3</t>
        </is>
      </c>
      <c r="D103" s="2" t="n">
        <v>1</v>
      </c>
      <c r="E103" s="2" t="n">
        <v>1</v>
      </c>
      <c r="F103" s="3" t="inlineStr">
        <is>
          <t>1번 문항풀(디지털 기초소양)</t>
        </is>
      </c>
      <c r="G103" s="2" t="n">
        <v>2</v>
      </c>
      <c r="H103" s="2" t="inlineStr">
        <is>
          <t>SAFE_ACC</t>
        </is>
      </c>
      <c r="I103" s="3" t="inlineStr">
        <is>
          <t>계정 안전</t>
        </is>
      </c>
      <c r="J103" s="4" t="inlineStr">
        <is>
          <t>A</t>
        </is>
      </c>
      <c r="K103" s="2" t="inlineStr">
        <is>
          <t>N</t>
        </is>
      </c>
      <c r="L103" s="2" t="inlineStr"/>
      <c r="M103" s="2" t="inlineStr"/>
      <c r="N103" s="6" t="inlineStr">
        <is>
          <t>계정 탈취를 예방하는 방법으로 가장 알맞은 것은?</t>
        </is>
      </c>
      <c r="O103" s="6" t="inlineStr">
        <is>
          <t>비밀번호를 메모해 책상에 붙인다</t>
        </is>
      </c>
      <c r="P103" s="6" t="inlineStr">
        <is>
          <t>여러 서비스에 동일한 비밀번호를 쓴다</t>
        </is>
      </c>
      <c r="Q103" s="6" t="inlineStr">
        <is>
          <t>보안 인증을 활용하고 비밀번호를 관리한다</t>
        </is>
      </c>
      <c r="R103" s="6" t="inlineStr">
        <is>
          <t>친구와 번갈아 계정을 쓴다</t>
        </is>
      </c>
      <c r="S103" s="7" t="n">
        <v>3</v>
      </c>
      <c r="T103" s="6" t="inlineStr">
        <is>
          <t>보안 인증을 활용하고 비밀번호를 관리한다</t>
        </is>
      </c>
      <c r="U103" s="7" t="inlineStr">
        <is>
          <t>계정 안전 기초 판단</t>
        </is>
      </c>
      <c r="V103" s="6" t="inlineStr">
        <is>
          <t>중3 1번 문항풀의 계정 안전 영역 진단 문항입니다. 학생이 계정 보안의 기본 원칙을 이해하고 실천하려는지를 확인하는 데 활용합니다.</t>
        </is>
      </c>
      <c r="W103" s="7" t="inlineStr">
        <is>
          <t>2-3-4-1-2-3-4-1-2-3</t>
        </is>
      </c>
    </row>
    <row r="104">
      <c r="A104" s="2" t="inlineStr">
        <is>
          <t>M3-P1-03</t>
        </is>
      </c>
      <c r="B104" s="2" t="inlineStr">
        <is>
          <t>중등</t>
        </is>
      </c>
      <c r="C104" s="2" t="inlineStr">
        <is>
          <t>중3</t>
        </is>
      </c>
      <c r="D104" s="2" t="n">
        <v>1</v>
      </c>
      <c r="E104" s="2" t="n">
        <v>1</v>
      </c>
      <c r="F104" s="3" t="inlineStr">
        <is>
          <t>1번 문항풀(디지털 기초소양)</t>
        </is>
      </c>
      <c r="G104" s="2" t="n">
        <v>3</v>
      </c>
      <c r="H104" s="2" t="inlineStr">
        <is>
          <t>NET_CIT</t>
        </is>
      </c>
      <c r="I104" s="3" t="inlineStr">
        <is>
          <t>디지털 시민성</t>
        </is>
      </c>
      <c r="J104" s="8" t="inlineStr">
        <is>
          <t>B</t>
        </is>
      </c>
      <c r="K104" s="2" t="inlineStr">
        <is>
          <t>N</t>
        </is>
      </c>
      <c r="L104" s="2" t="inlineStr"/>
      <c r="M104" s="2" t="inlineStr"/>
      <c r="N104" s="6" t="inlineStr">
        <is>
          <t>SNS에 올린 글에 대해 책임을 져야 하는 이유로 가장 알맞은 것은?</t>
        </is>
      </c>
      <c r="O104" s="6" t="inlineStr">
        <is>
          <t>글은 금방 사라져서</t>
        </is>
      </c>
      <c r="P104" s="6" t="inlineStr">
        <is>
          <t>친구만 보면 괜찮아서</t>
        </is>
      </c>
      <c r="Q104" s="6" t="inlineStr">
        <is>
          <t>익명 계정이면 아무 문제 없어서</t>
        </is>
      </c>
      <c r="R104" s="6" t="inlineStr">
        <is>
          <t>누군가에게 영향을 주고 기록으로 남을 수 있어서</t>
        </is>
      </c>
      <c r="S104" s="7" t="n">
        <v>4</v>
      </c>
      <c r="T104" s="6" t="inlineStr">
        <is>
          <t>누군가에게 영향을 주고 기록으로 남을 수 있어서</t>
        </is>
      </c>
      <c r="U104" s="7" t="inlineStr">
        <is>
          <t>디지털 시민성 기초 판단</t>
        </is>
      </c>
      <c r="V104" s="6" t="inlineStr">
        <is>
          <t>중3 1번 문항풀의 디지털 시민성 영역 진단 문항입니다. 학생이 온라인에서 타인을 배려하고 책임 있게 행동하는지를 확인하는 데 활용합니다.</t>
        </is>
      </c>
      <c r="W104" s="7" t="inlineStr">
        <is>
          <t>2-3-4-1-2-3-4-1-2-3</t>
        </is>
      </c>
    </row>
    <row r="105">
      <c r="A105" s="2" t="inlineStr">
        <is>
          <t>M3-P1-04</t>
        </is>
      </c>
      <c r="B105" s="2" t="inlineStr">
        <is>
          <t>중등</t>
        </is>
      </c>
      <c r="C105" s="2" t="inlineStr">
        <is>
          <t>중3</t>
        </is>
      </c>
      <c r="D105" s="2" t="n">
        <v>1</v>
      </c>
      <c r="E105" s="2" t="n">
        <v>1</v>
      </c>
      <c r="F105" s="3" t="inlineStr">
        <is>
          <t>1번 문항풀(디지털 기초소양)</t>
        </is>
      </c>
      <c r="G105" s="2" t="n">
        <v>4</v>
      </c>
      <c r="H105" s="2" t="inlineStr">
        <is>
          <t>COPY</t>
        </is>
      </c>
      <c r="I105" s="3" t="inlineStr">
        <is>
          <t>저작권 기초</t>
        </is>
      </c>
      <c r="J105" s="8" t="inlineStr">
        <is>
          <t>B</t>
        </is>
      </c>
      <c r="K105" s="2" t="inlineStr">
        <is>
          <t>N</t>
        </is>
      </c>
      <c r="L105" s="2" t="inlineStr"/>
      <c r="M105" s="2" t="inlineStr"/>
      <c r="N105" s="6" t="inlineStr">
        <is>
          <t>과제에 인터넷 자료를 사용할 때 가장 적절한 행동은?</t>
        </is>
      </c>
      <c r="O105" s="6" t="inlineStr">
        <is>
          <t>출처를 밝히고 필요한 만큼 적절히 활용한다</t>
        </is>
      </c>
      <c r="P105" s="6" t="inlineStr">
        <is>
          <t>복사해 붙여 넣기만 한다</t>
        </is>
      </c>
      <c r="Q105" s="6" t="inlineStr">
        <is>
          <t>원문을 조금 바꾸면 출처가 필요 없다</t>
        </is>
      </c>
      <c r="R105" s="6" t="inlineStr">
        <is>
          <t>친구 자료를 그대로 낸다</t>
        </is>
      </c>
      <c r="S105" s="7" t="n">
        <v>1</v>
      </c>
      <c r="T105" s="6" t="inlineStr">
        <is>
          <t>출처를 밝히고 필요한 만큼 적절히 활용한다</t>
        </is>
      </c>
      <c r="U105" s="7" t="inlineStr">
        <is>
          <t>저작권 기초 기초 판단</t>
        </is>
      </c>
      <c r="V105" s="6" t="inlineStr">
        <is>
          <t>중3 1번 문항풀의 저작권 기초 영역 진단 문항입니다. 학생이 타인의 저작물을 허락 없이 사용하는 문제를 이해하는지를 확인하는 데 활용합니다.</t>
        </is>
      </c>
      <c r="W105" s="7" t="inlineStr">
        <is>
          <t>2-3-4-1-2-3-4-1-2-3</t>
        </is>
      </c>
    </row>
    <row r="106">
      <c r="A106" s="2" t="inlineStr">
        <is>
          <t>M3-P1-05</t>
        </is>
      </c>
      <c r="B106" s="2" t="inlineStr">
        <is>
          <t>중등</t>
        </is>
      </c>
      <c r="C106" s="2" t="inlineStr">
        <is>
          <t>중3</t>
        </is>
      </c>
      <c r="D106" s="2" t="n">
        <v>1</v>
      </c>
      <c r="E106" s="2" t="n">
        <v>1</v>
      </c>
      <c r="F106" s="3" t="inlineStr">
        <is>
          <t>1번 문항풀(디지털 기초소양)</t>
        </is>
      </c>
      <c r="G106" s="2" t="n">
        <v>5</v>
      </c>
      <c r="H106" s="2" t="inlineStr">
        <is>
          <t>INFO</t>
        </is>
      </c>
      <c r="I106" s="3" t="inlineStr">
        <is>
          <t>정보 신뢰성</t>
        </is>
      </c>
      <c r="J106" s="11" t="inlineStr">
        <is>
          <t>C</t>
        </is>
      </c>
      <c r="K106" s="5" t="inlineStr">
        <is>
          <t>Y</t>
        </is>
      </c>
      <c r="L106" s="5" t="inlineStr">
        <is>
          <t>중3-P1-A2</t>
        </is>
      </c>
      <c r="M106" s="5" t="inlineStr">
        <is>
          <t>비판적 판단 기준문항</t>
        </is>
      </c>
      <c r="N106" s="6" t="inlineStr">
        <is>
          <t>온라인 정보를 판단할 때 함께 보면 좋은 요소로 가장 알맞은 것은?</t>
        </is>
      </c>
      <c r="O106" s="6" t="inlineStr">
        <is>
          <t>글자 크기와 배경색</t>
        </is>
      </c>
      <c r="P106" s="6" t="inlineStr">
        <is>
          <t>출처, 작성 목적, 근거</t>
        </is>
      </c>
      <c r="Q106" s="6" t="inlineStr">
        <is>
          <t>조회 수와 이모티콘</t>
        </is>
      </c>
      <c r="R106" s="6" t="inlineStr">
        <is>
          <t>댓글 길이</t>
        </is>
      </c>
      <c r="S106" s="7" t="n">
        <v>2</v>
      </c>
      <c r="T106" s="6" t="inlineStr">
        <is>
          <t>출처, 작성 목적, 근거</t>
        </is>
      </c>
      <c r="U106" s="7" t="inlineStr">
        <is>
          <t>정보 신뢰성 기초 판단</t>
        </is>
      </c>
      <c r="V106" s="6" t="inlineStr">
        <is>
          <t>중3 1번 문항풀의 정보 신뢰성 영역 진단 문항입니다. 학생이 온라인 정보의 출처와 신뢰도를 판단하는지를 확인하는 데 활용합니다.</t>
        </is>
      </c>
      <c r="W106" s="7" t="inlineStr">
        <is>
          <t>2-3-4-1-2-3-4-1-2-3</t>
        </is>
      </c>
    </row>
    <row r="107">
      <c r="A107" s="2" t="inlineStr">
        <is>
          <t>M3-P1-06</t>
        </is>
      </c>
      <c r="B107" s="2" t="inlineStr">
        <is>
          <t>중등</t>
        </is>
      </c>
      <c r="C107" s="2" t="inlineStr">
        <is>
          <t>중3</t>
        </is>
      </c>
      <c r="D107" s="2" t="n">
        <v>1</v>
      </c>
      <c r="E107" s="2" t="n">
        <v>1</v>
      </c>
      <c r="F107" s="3" t="inlineStr">
        <is>
          <t>1번 문항풀(디지털 기초소양)</t>
        </is>
      </c>
      <c r="G107" s="2" t="n">
        <v>6</v>
      </c>
      <c r="H107" s="2" t="inlineStr">
        <is>
          <t>INFO</t>
        </is>
      </c>
      <c r="I107" s="3" t="inlineStr">
        <is>
          <t>정보 신뢰성</t>
        </is>
      </c>
      <c r="J107" s="11" t="inlineStr">
        <is>
          <t>C</t>
        </is>
      </c>
      <c r="K107" s="2" t="inlineStr">
        <is>
          <t>N</t>
        </is>
      </c>
      <c r="L107" s="2" t="inlineStr"/>
      <c r="M107" s="2" t="inlineStr"/>
      <c r="N107" s="6" t="inlineStr">
        <is>
          <t>가짜뉴스를 구별하는 데 도움이 되는 태도로 가장 알맞은 것은?</t>
        </is>
      </c>
      <c r="O107" s="6" t="inlineStr">
        <is>
          <t>내 생각과 같으면 믿는다</t>
        </is>
      </c>
      <c r="P107" s="6" t="inlineStr">
        <is>
          <t>자극적일수록 믿는다</t>
        </is>
      </c>
      <c r="Q107" s="6" t="inlineStr">
        <is>
          <t>여러 자료를 비교하고 근거를 확인한다</t>
        </is>
      </c>
      <c r="R107" s="6" t="inlineStr">
        <is>
          <t>공유가 많으면 사실로 본다</t>
        </is>
      </c>
      <c r="S107" s="7" t="n">
        <v>3</v>
      </c>
      <c r="T107" s="6" t="inlineStr">
        <is>
          <t>여러 자료를 비교하고 근거를 확인한다</t>
        </is>
      </c>
      <c r="U107" s="7" t="inlineStr">
        <is>
          <t>정보 신뢰성 기초 판단</t>
        </is>
      </c>
      <c r="V107" s="6" t="inlineStr">
        <is>
          <t>중3 1번 문항풀의 정보 신뢰성 영역 진단 문항입니다. 학생이 온라인 정보의 출처와 신뢰도를 판단하는지를 확인하는 데 활용합니다.</t>
        </is>
      </c>
      <c r="W107" s="7" t="inlineStr">
        <is>
          <t>2-3-4-1-2-3-4-1-2-3</t>
        </is>
      </c>
    </row>
    <row r="108">
      <c r="A108" s="2" t="inlineStr">
        <is>
          <t>M3-P1-07</t>
        </is>
      </c>
      <c r="B108" s="2" t="inlineStr">
        <is>
          <t>중등</t>
        </is>
      </c>
      <c r="C108" s="2" t="inlineStr">
        <is>
          <t>중3</t>
        </is>
      </c>
      <c r="D108" s="2" t="n">
        <v>1</v>
      </c>
      <c r="E108" s="2" t="n">
        <v>1</v>
      </c>
      <c r="F108" s="3" t="inlineStr">
        <is>
          <t>1번 문항풀(디지털 기초소양)</t>
        </is>
      </c>
      <c r="G108" s="2" t="n">
        <v>7</v>
      </c>
      <c r="H108" s="2" t="inlineStr">
        <is>
          <t>SAFE</t>
        </is>
      </c>
      <c r="I108" s="3" t="inlineStr">
        <is>
          <t>디지털 안전</t>
        </is>
      </c>
      <c r="J108" s="4" t="inlineStr">
        <is>
          <t>A</t>
        </is>
      </c>
      <c r="K108" s="2" t="inlineStr">
        <is>
          <t>N</t>
        </is>
      </c>
      <c r="L108" s="2" t="inlineStr"/>
      <c r="M108" s="2" t="inlineStr"/>
      <c r="N108" s="6" t="inlineStr">
        <is>
          <t>온라인 이벤트 응모를 위해 지나치게 많은 정보를 요구할 때 가장 알맞은 행동은?</t>
        </is>
      </c>
      <c r="O108" s="6" t="inlineStr">
        <is>
          <t>일단 입력한다</t>
        </is>
      </c>
      <c r="P108" s="6" t="inlineStr">
        <is>
          <t>경품이 크면 괜찮다고 본다</t>
        </is>
      </c>
      <c r="Q108" s="6" t="inlineStr">
        <is>
          <t>친구 정보를 대신 넣는다</t>
        </is>
      </c>
      <c r="R108" s="6" t="inlineStr">
        <is>
          <t>필요성을 따져 보고 의심되면 참여하지 않는다</t>
        </is>
      </c>
      <c r="S108" s="7" t="n">
        <v>4</v>
      </c>
      <c r="T108" s="6" t="inlineStr">
        <is>
          <t>필요성을 따져 보고 의심되면 참여하지 않는다</t>
        </is>
      </c>
      <c r="U108" s="7" t="inlineStr">
        <is>
          <t>디지털 안전 기초 판단</t>
        </is>
      </c>
      <c r="V108" s="6" t="inlineStr">
        <is>
          <t>중3 1번 문항풀의 디지털 안전 영역 진단 문항입니다. 학생이 의심스러운 상황을 인식하고 안전하게 대처하는지를 확인하는 데 활용합니다.</t>
        </is>
      </c>
      <c r="W108" s="7" t="inlineStr">
        <is>
          <t>2-3-4-1-2-3-4-1-2-3</t>
        </is>
      </c>
    </row>
    <row r="109">
      <c r="A109" s="2" t="inlineStr">
        <is>
          <t>M3-P1-08</t>
        </is>
      </c>
      <c r="B109" s="2" t="inlineStr">
        <is>
          <t>중등</t>
        </is>
      </c>
      <c r="C109" s="2" t="inlineStr">
        <is>
          <t>중3</t>
        </is>
      </c>
      <c r="D109" s="2" t="n">
        <v>1</v>
      </c>
      <c r="E109" s="2" t="n">
        <v>1</v>
      </c>
      <c r="F109" s="3" t="inlineStr">
        <is>
          <t>1번 문항풀(디지털 기초소양)</t>
        </is>
      </c>
      <c r="G109" s="2" t="n">
        <v>8</v>
      </c>
      <c r="H109" s="2" t="inlineStr">
        <is>
          <t>TRACE</t>
        </is>
      </c>
      <c r="I109" s="3" t="inlineStr">
        <is>
          <t>디지털 발자국</t>
        </is>
      </c>
      <c r="J109" s="8" t="inlineStr">
        <is>
          <t>B</t>
        </is>
      </c>
      <c r="K109" s="2" t="inlineStr">
        <is>
          <t>N</t>
        </is>
      </c>
      <c r="L109" s="2" t="inlineStr"/>
      <c r="M109" s="2" t="inlineStr"/>
      <c r="N109" s="6" t="inlineStr">
        <is>
          <t>삭제한 게시물도 흔적이 남을 수 있다는 말의 의미로 가장 알맞은 것은?</t>
        </is>
      </c>
      <c r="O109" s="6" t="inlineStr">
        <is>
          <t>다른 사람이 저장하거나 퍼갔을 수 있다는 뜻이다</t>
        </is>
      </c>
      <c r="P109" s="6" t="inlineStr">
        <is>
          <t>기록이 전혀 안 남는다는 뜻이다</t>
        </is>
      </c>
      <c r="Q109" s="6" t="inlineStr">
        <is>
          <t>삭제하면 모두 즉시 잊는다는 뜻이다</t>
        </is>
      </c>
      <c r="R109" s="6" t="inlineStr">
        <is>
          <t>비공개면 영원히 안전하다는 뜻이다</t>
        </is>
      </c>
      <c r="S109" s="7" t="n">
        <v>1</v>
      </c>
      <c r="T109" s="6" t="inlineStr">
        <is>
          <t>다른 사람이 저장하거나 퍼갔을 수 있다는 뜻이다</t>
        </is>
      </c>
      <c r="U109" s="7" t="inlineStr">
        <is>
          <t>디지털 발자국 기초 판단</t>
        </is>
      </c>
      <c r="V109" s="6" t="inlineStr">
        <is>
          <t>중3 1번 문항풀의 디지털 발자국 영역 진단 문항입니다. 학생이 온라인 기록의 지속성과 영향력을 이해하는지를 확인하는 데 활용합니다.</t>
        </is>
      </c>
      <c r="W109" s="7" t="inlineStr">
        <is>
          <t>2-3-4-1-2-3-4-1-2-3</t>
        </is>
      </c>
    </row>
    <row r="110">
      <c r="A110" s="2" t="inlineStr">
        <is>
          <t>M3-P1-09</t>
        </is>
      </c>
      <c r="B110" s="2" t="inlineStr">
        <is>
          <t>중등</t>
        </is>
      </c>
      <c r="C110" s="2" t="inlineStr">
        <is>
          <t>중3</t>
        </is>
      </c>
      <c r="D110" s="2" t="n">
        <v>1</v>
      </c>
      <c r="E110" s="2" t="n">
        <v>1</v>
      </c>
      <c r="F110" s="3" t="inlineStr">
        <is>
          <t>1번 문항풀(디지털 기초소양)</t>
        </is>
      </c>
      <c r="G110" s="2" t="n">
        <v>9</v>
      </c>
      <c r="H110" s="2" t="inlineStr">
        <is>
          <t>ETHIC</t>
        </is>
      </c>
      <c r="I110" s="3" t="inlineStr">
        <is>
          <t>학습윤리</t>
        </is>
      </c>
      <c r="J110" s="11" t="inlineStr">
        <is>
          <t>C</t>
        </is>
      </c>
      <c r="K110" s="2" t="inlineStr">
        <is>
          <t>N</t>
        </is>
      </c>
      <c r="L110" s="2" t="inlineStr"/>
      <c r="M110" s="2" t="inlineStr"/>
      <c r="N110" s="6" t="inlineStr">
        <is>
          <t>과제에서 복사·붙여넣기가 문제가 되는 이유로 가장 알맞은 것은?</t>
        </is>
      </c>
      <c r="O110" s="6" t="inlineStr">
        <is>
          <t>시간이 오래 걸려서</t>
        </is>
      </c>
      <c r="P110" s="6" t="inlineStr">
        <is>
          <t>자기 생각과 학습 과정이 드러나지 않아서</t>
        </is>
      </c>
      <c r="Q110" s="6" t="inlineStr">
        <is>
          <t>화면이 지저분해서</t>
        </is>
      </c>
      <c r="R110" s="6" t="inlineStr">
        <is>
          <t>파일이 커져서</t>
        </is>
      </c>
      <c r="S110" s="7" t="n">
        <v>2</v>
      </c>
      <c r="T110" s="6" t="inlineStr">
        <is>
          <t>자기 생각과 학습 과정이 드러나지 않아서</t>
        </is>
      </c>
      <c r="U110" s="7" t="inlineStr">
        <is>
          <t>학습윤리 기초 판단</t>
        </is>
      </c>
      <c r="V110" s="6" t="inlineStr">
        <is>
          <t>중3 1번 문항풀의 학습윤리 영역 진단 문항입니다. 학생이 과제 수행에서 정직성과 자기 사고의 중요성을 이해하는지를 확인하는 데 활용합니다.</t>
        </is>
      </c>
      <c r="W110" s="7" t="inlineStr">
        <is>
          <t>2-3-4-1-2-3-4-1-2-3</t>
        </is>
      </c>
    </row>
    <row r="111">
      <c r="A111" s="2" t="inlineStr">
        <is>
          <t>M3-P1-10</t>
        </is>
      </c>
      <c r="B111" s="2" t="inlineStr">
        <is>
          <t>중등</t>
        </is>
      </c>
      <c r="C111" s="2" t="inlineStr">
        <is>
          <t>중3</t>
        </is>
      </c>
      <c r="D111" s="2" t="n">
        <v>1</v>
      </c>
      <c r="E111" s="2" t="n">
        <v>1</v>
      </c>
      <c r="F111" s="3" t="inlineStr">
        <is>
          <t>1번 문항풀(디지털 기초소양)</t>
        </is>
      </c>
      <c r="G111" s="2" t="n">
        <v>10</v>
      </c>
      <c r="H111" s="2" t="inlineStr">
        <is>
          <t>RESP</t>
        </is>
      </c>
      <c r="I111" s="3" t="inlineStr">
        <is>
          <t>책임감</t>
        </is>
      </c>
      <c r="J111" s="8" t="inlineStr">
        <is>
          <t>B</t>
        </is>
      </c>
      <c r="K111" s="2" t="inlineStr">
        <is>
          <t>N</t>
        </is>
      </c>
      <c r="L111" s="2" t="inlineStr"/>
      <c r="M111" s="2" t="inlineStr"/>
      <c r="N111" s="6" t="inlineStr">
        <is>
          <t>고등학교 진학을 앞두고 필요한 디지털 태도로 가장 알맞은 것은?</t>
        </is>
      </c>
      <c r="O111" s="6" t="inlineStr">
        <is>
          <t>들키지 않으면 괜찮다고 생각하기</t>
        </is>
      </c>
      <c r="P111" s="6" t="inlineStr">
        <is>
          <t>친구가 하면 따라 하기</t>
        </is>
      </c>
      <c r="Q111" s="6" t="inlineStr">
        <is>
          <t>온라인에서도 책임 있게 행동하기</t>
        </is>
      </c>
      <c r="R111" s="6" t="inlineStr">
        <is>
          <t>빠르게만 끝내기</t>
        </is>
      </c>
      <c r="S111" s="7" t="n">
        <v>3</v>
      </c>
      <c r="T111" s="6" t="inlineStr">
        <is>
          <t>온라인에서도 책임 있게 행동하기</t>
        </is>
      </c>
      <c r="U111" s="7" t="inlineStr">
        <is>
          <t>책임감 기초 판단</t>
        </is>
      </c>
      <c r="V111" s="6" t="inlineStr">
        <is>
          <t>중3 1번 문항풀의 책임감 영역 진단 문항입니다. 학생이 학교·공동 환경에서 디지털 규칙을 지키는지를 확인하는 데 활용합니다.</t>
        </is>
      </c>
      <c r="W111" s="7" t="inlineStr">
        <is>
          <t>2-3-4-1-2-3-4-1-2-3</t>
        </is>
      </c>
    </row>
    <row r="112">
      <c r="A112" s="9" t="inlineStr">
        <is>
          <t>M3-P2-01</t>
        </is>
      </c>
      <c r="B112" s="9" t="inlineStr">
        <is>
          <t>중등</t>
        </is>
      </c>
      <c r="C112" s="9" t="inlineStr">
        <is>
          <t>중3</t>
        </is>
      </c>
      <c r="D112" s="9" t="n">
        <v>2</v>
      </c>
      <c r="E112" s="9" t="n">
        <v>2</v>
      </c>
      <c r="F112" s="10" t="inlineStr">
        <is>
          <t>2번 문항풀(AI 활용 기초)</t>
        </is>
      </c>
      <c r="G112" s="9" t="n">
        <v>1</v>
      </c>
      <c r="H112" s="9" t="inlineStr">
        <is>
          <t>AIU</t>
        </is>
      </c>
      <c r="I112" s="10" t="inlineStr">
        <is>
          <t>AI 이해</t>
        </is>
      </c>
      <c r="J112" s="4" t="inlineStr">
        <is>
          <t>A</t>
        </is>
      </c>
      <c r="K112" s="5" t="inlineStr">
        <is>
          <t>Y</t>
        </is>
      </c>
      <c r="L112" s="5" t="inlineStr">
        <is>
          <t>중3-P2-A1</t>
        </is>
      </c>
      <c r="M112" s="5" t="inlineStr">
        <is>
          <t>기초 기준문항</t>
        </is>
      </c>
      <c r="N112" s="6" t="inlineStr">
        <is>
          <t>생성형 AI의 한계로 가장 알맞은 것은?</t>
        </is>
      </c>
      <c r="O112" s="6" t="inlineStr">
        <is>
          <t>항상 최신이고 정확하다</t>
        </is>
      </c>
      <c r="P112" s="6" t="inlineStr">
        <is>
          <t>사람보다 늘 윤리적이다</t>
        </is>
      </c>
      <c r="Q112" s="6" t="inlineStr">
        <is>
          <t>모든 교과를 완벽히 이해한다</t>
        </is>
      </c>
      <c r="R112" s="6" t="inlineStr">
        <is>
          <t>사실과 다른 내용을 그럴듯하게 만들 수 있다</t>
        </is>
      </c>
      <c r="S112" s="7" t="n">
        <v>4</v>
      </c>
      <c r="T112" s="6" t="inlineStr">
        <is>
          <t>사실과 다른 내용을 그럴듯하게 만들 수 있다</t>
        </is>
      </c>
      <c r="U112" s="7" t="inlineStr">
        <is>
          <t>AI 이해 기초 판단</t>
        </is>
      </c>
      <c r="V112" s="6" t="inlineStr">
        <is>
          <t>중3 2번 문항풀의 AI 이해 영역 진단 문항입니다. 학생이 AI의 기본 원리와 한계를 구분하는지를 확인하는 데 활용합니다.</t>
        </is>
      </c>
      <c r="W112" s="7" t="inlineStr">
        <is>
          <t>4-1-2-3-4-1-2-3-4-1</t>
        </is>
      </c>
    </row>
    <row r="113">
      <c r="A113" s="9" t="inlineStr">
        <is>
          <t>M3-P2-02</t>
        </is>
      </c>
      <c r="B113" s="9" t="inlineStr">
        <is>
          <t>중등</t>
        </is>
      </c>
      <c r="C113" s="9" t="inlineStr">
        <is>
          <t>중3</t>
        </is>
      </c>
      <c r="D113" s="9" t="n">
        <v>2</v>
      </c>
      <c r="E113" s="9" t="n">
        <v>2</v>
      </c>
      <c r="F113" s="10" t="inlineStr">
        <is>
          <t>2번 문항풀(AI 활용 기초)</t>
        </is>
      </c>
      <c r="G113" s="9" t="n">
        <v>2</v>
      </c>
      <c r="H113" s="9" t="inlineStr">
        <is>
          <t>AIU</t>
        </is>
      </c>
      <c r="I113" s="10" t="inlineStr">
        <is>
          <t>AI 이해</t>
        </is>
      </c>
      <c r="J113" s="4" t="inlineStr">
        <is>
          <t>A</t>
        </is>
      </c>
      <c r="K113" s="9" t="inlineStr">
        <is>
          <t>N</t>
        </is>
      </c>
      <c r="L113" s="9" t="inlineStr"/>
      <c r="M113" s="9" t="inlineStr"/>
      <c r="N113" s="6" t="inlineStr">
        <is>
          <t>AI가 만든 결과물을 사용할 때 필요한 태도로 가장 알맞은 것은?</t>
        </is>
      </c>
      <c r="O113" s="6" t="inlineStr">
        <is>
          <t>사실 여부와 적절성을 확인한다</t>
        </is>
      </c>
      <c r="P113" s="6" t="inlineStr">
        <is>
          <t>결과가 자연스러우면 그대로 믿는다</t>
        </is>
      </c>
      <c r="Q113" s="6" t="inlineStr">
        <is>
          <t>검토와 수정 없이 바로 낸다</t>
        </is>
      </c>
      <c r="R113" s="6" t="inlineStr">
        <is>
          <t>친구가 썼으면 그대로 쓴다</t>
        </is>
      </c>
      <c r="S113" s="7" t="n">
        <v>1</v>
      </c>
      <c r="T113" s="6" t="inlineStr">
        <is>
          <t>사실 여부와 적절성을 확인한다</t>
        </is>
      </c>
      <c r="U113" s="7" t="inlineStr">
        <is>
          <t>AI 이해 기초 판단</t>
        </is>
      </c>
      <c r="V113" s="6" t="inlineStr">
        <is>
          <t>중3 2번 문항풀의 AI 이해 영역 진단 문항입니다. 학생이 AI의 기본 원리와 한계를 구분하는지를 확인하는 데 활용합니다.</t>
        </is>
      </c>
      <c r="W113" s="7" t="inlineStr">
        <is>
          <t>4-1-2-3-4-1-2-3-4-1</t>
        </is>
      </c>
    </row>
    <row r="114">
      <c r="A114" s="9" t="inlineStr">
        <is>
          <t>M3-P2-03</t>
        </is>
      </c>
      <c r="B114" s="9" t="inlineStr">
        <is>
          <t>중등</t>
        </is>
      </c>
      <c r="C114" s="9" t="inlineStr">
        <is>
          <t>중3</t>
        </is>
      </c>
      <c r="D114" s="9" t="n">
        <v>2</v>
      </c>
      <c r="E114" s="9" t="n">
        <v>2</v>
      </c>
      <c r="F114" s="10" t="inlineStr">
        <is>
          <t>2번 문항풀(AI 활용 기초)</t>
        </is>
      </c>
      <c r="G114" s="9" t="n">
        <v>3</v>
      </c>
      <c r="H114" s="9" t="inlineStr">
        <is>
          <t>AIA</t>
        </is>
      </c>
      <c r="I114" s="10" t="inlineStr">
        <is>
          <t>AI 활용 태도</t>
        </is>
      </c>
      <c r="J114" s="8" t="inlineStr">
        <is>
          <t>B</t>
        </is>
      </c>
      <c r="K114" s="9" t="inlineStr">
        <is>
          <t>N</t>
        </is>
      </c>
      <c r="L114" s="9" t="inlineStr"/>
      <c r="M114" s="9" t="inlineStr"/>
      <c r="N114" s="6" t="inlineStr">
        <is>
          <t>과제에 AI를 활용한 뒤 가장 바람직한 행동은?</t>
        </is>
      </c>
      <c r="O114" s="6" t="inlineStr">
        <is>
          <t>그대로 복사해 제출한다</t>
        </is>
      </c>
      <c r="P114" s="6" t="inlineStr">
        <is>
          <t>내용을 이해하고 내 판단을 더해 정리한다</t>
        </is>
      </c>
      <c r="Q114" s="6" t="inlineStr">
        <is>
          <t>출처 없이 붙여 넣는다</t>
        </is>
      </c>
      <c r="R114" s="6" t="inlineStr">
        <is>
          <t>틀린 부분이 있어도 그냥 낸다</t>
        </is>
      </c>
      <c r="S114" s="7" t="n">
        <v>2</v>
      </c>
      <c r="T114" s="6" t="inlineStr">
        <is>
          <t>내용을 이해하고 내 판단을 더해 정리한다</t>
        </is>
      </c>
      <c r="U114" s="7" t="inlineStr">
        <is>
          <t>AI 활용 태도 기초 판단</t>
        </is>
      </c>
      <c r="V114" s="6" t="inlineStr">
        <is>
          <t>중3 2번 문항풀의 AI 활용 태도 영역 진단 문항입니다. 학생이 AI를 무비판적으로 사용하지 않고 검토하려는지를 확인하는 데 활용합니다.</t>
        </is>
      </c>
      <c r="W114" s="7" t="inlineStr">
        <is>
          <t>4-1-2-3-4-1-2-3-4-1</t>
        </is>
      </c>
    </row>
    <row r="115">
      <c r="A115" s="9" t="inlineStr">
        <is>
          <t>M3-P2-04</t>
        </is>
      </c>
      <c r="B115" s="9" t="inlineStr">
        <is>
          <t>중등</t>
        </is>
      </c>
      <c r="C115" s="9" t="inlineStr">
        <is>
          <t>중3</t>
        </is>
      </c>
      <c r="D115" s="9" t="n">
        <v>2</v>
      </c>
      <c r="E115" s="9" t="n">
        <v>2</v>
      </c>
      <c r="F115" s="10" t="inlineStr">
        <is>
          <t>2번 문항풀(AI 활용 기초)</t>
        </is>
      </c>
      <c r="G115" s="9" t="n">
        <v>4</v>
      </c>
      <c r="H115" s="9" t="inlineStr">
        <is>
          <t>DPS</t>
        </is>
      </c>
      <c r="I115" s="10" t="inlineStr">
        <is>
          <t>문제해결</t>
        </is>
      </c>
      <c r="J115" s="8" t="inlineStr">
        <is>
          <t>B</t>
        </is>
      </c>
      <c r="K115" s="9" t="inlineStr">
        <is>
          <t>N</t>
        </is>
      </c>
      <c r="L115" s="9" t="inlineStr"/>
      <c r="M115" s="9" t="inlineStr"/>
      <c r="N115" s="6" t="inlineStr">
        <is>
          <t>디지털 도구가 잘 작동하지 않을 때 가장 효과적인 접근은?</t>
        </is>
      </c>
      <c r="O115" s="6" t="inlineStr">
        <is>
          <t>화가 나면 바로 포기한다</t>
        </is>
      </c>
      <c r="P115" s="6" t="inlineStr">
        <is>
          <t>기기를 탓한다</t>
        </is>
      </c>
      <c r="Q115" s="6" t="inlineStr">
        <is>
          <t>문제를 나누어 원인을 확인한다</t>
        </is>
      </c>
      <c r="R115" s="6" t="inlineStr">
        <is>
          <t>친구에게 전부 맡긴다</t>
        </is>
      </c>
      <c r="S115" s="7" t="n">
        <v>3</v>
      </c>
      <c r="T115" s="6" t="inlineStr">
        <is>
          <t>문제를 나누어 원인을 확인한다</t>
        </is>
      </c>
      <c r="U115" s="7" t="inlineStr">
        <is>
          <t>문제해결 기초 판단</t>
        </is>
      </c>
      <c r="V115" s="6" t="inlineStr">
        <is>
          <t>중3 2번 문항풀의 문제해결 영역 진단 문항입니다. 학생이 디지털 문제를 단계적으로 해결하려는지를 확인하는 데 활용합니다.</t>
        </is>
      </c>
      <c r="W115" s="7" t="inlineStr">
        <is>
          <t>4-1-2-3-4-1-2-3-4-1</t>
        </is>
      </c>
    </row>
    <row r="116">
      <c r="A116" s="9" t="inlineStr">
        <is>
          <t>M3-P2-05</t>
        </is>
      </c>
      <c r="B116" s="9" t="inlineStr">
        <is>
          <t>중등</t>
        </is>
      </c>
      <c r="C116" s="9" t="inlineStr">
        <is>
          <t>중3</t>
        </is>
      </c>
      <c r="D116" s="9" t="n">
        <v>2</v>
      </c>
      <c r="E116" s="9" t="n">
        <v>2</v>
      </c>
      <c r="F116" s="10" t="inlineStr">
        <is>
          <t>2번 문항풀(AI 활용 기초)</t>
        </is>
      </c>
      <c r="G116" s="9" t="n">
        <v>5</v>
      </c>
      <c r="H116" s="9" t="inlineStr">
        <is>
          <t>AIC</t>
        </is>
      </c>
      <c r="I116" s="10" t="inlineStr">
        <is>
          <t>결과 검토</t>
        </is>
      </c>
      <c r="J116" s="11" t="inlineStr">
        <is>
          <t>C</t>
        </is>
      </c>
      <c r="K116" s="5" t="inlineStr">
        <is>
          <t>Y</t>
        </is>
      </c>
      <c r="L116" s="5" t="inlineStr">
        <is>
          <t>중3-P2-A2</t>
        </is>
      </c>
      <c r="M116" s="5" t="inlineStr">
        <is>
          <t>비판적 판단 기준문항</t>
        </is>
      </c>
      <c r="N116" s="6" t="inlineStr">
        <is>
          <t>AI가 제안한 진로 정보를 믿기 전에 해야 할 일로 가장 알맞은 것은?</t>
        </is>
      </c>
      <c r="O116" s="6" t="inlineStr">
        <is>
          <t>AI가 말했으니 바로 믿는다</t>
        </is>
      </c>
      <c r="P116" s="6" t="inlineStr">
        <is>
          <t>광고성 글만 더 찾아본다</t>
        </is>
      </c>
      <c r="Q116" s="6" t="inlineStr">
        <is>
          <t>길게 써 있으면 맞다고 본다</t>
        </is>
      </c>
      <c r="R116" s="6" t="inlineStr">
        <is>
          <t>학교 자료나 공식 정보를 함께 확인한다</t>
        </is>
      </c>
      <c r="S116" s="7" t="n">
        <v>4</v>
      </c>
      <c r="T116" s="6" t="inlineStr">
        <is>
          <t>학교 자료나 공식 정보를 함께 확인한다</t>
        </is>
      </c>
      <c r="U116" s="7" t="inlineStr">
        <is>
          <t>결과 검토 기초 판단</t>
        </is>
      </c>
      <c r="V116" s="6" t="inlineStr">
        <is>
          <t>중3 2번 문항풀의 결과 검토 영역 진단 문항입니다. 학생이 AI·디지털 결과물을 근거 중심으로 다시 확인하는지를 확인하는 데 활용합니다.</t>
        </is>
      </c>
      <c r="W116" s="7" t="inlineStr">
        <is>
          <t>4-1-2-3-4-1-2-3-4-1</t>
        </is>
      </c>
    </row>
    <row r="117">
      <c r="A117" s="9" t="inlineStr">
        <is>
          <t>M3-P2-06</t>
        </is>
      </c>
      <c r="B117" s="9" t="inlineStr">
        <is>
          <t>중등</t>
        </is>
      </c>
      <c r="C117" s="9" t="inlineStr">
        <is>
          <t>중3</t>
        </is>
      </c>
      <c r="D117" s="9" t="n">
        <v>2</v>
      </c>
      <c r="E117" s="9" t="n">
        <v>2</v>
      </c>
      <c r="F117" s="10" t="inlineStr">
        <is>
          <t>2번 문항풀(AI 활용 기초)</t>
        </is>
      </c>
      <c r="G117" s="9" t="n">
        <v>6</v>
      </c>
      <c r="H117" s="9" t="inlineStr">
        <is>
          <t>AIE</t>
        </is>
      </c>
      <c r="I117" s="10" t="inlineStr">
        <is>
          <t>책임 있는 활용</t>
        </is>
      </c>
      <c r="J117" s="11" t="inlineStr">
        <is>
          <t>C</t>
        </is>
      </c>
      <c r="K117" s="9" t="inlineStr">
        <is>
          <t>N</t>
        </is>
      </c>
      <c r="L117" s="9" t="inlineStr"/>
      <c r="M117" s="9" t="inlineStr"/>
      <c r="N117" s="6" t="inlineStr">
        <is>
          <t>AI를 이용해 허위정보를 퍼뜨리는 행동에 대한 판단으로 가장 알맞은 것은?</t>
        </is>
      </c>
      <c r="O117" s="6" t="inlineStr">
        <is>
          <t>사회적 피해를 줄 수 있어 부적절하다</t>
        </is>
      </c>
      <c r="P117" s="6" t="inlineStr">
        <is>
          <t>들키지만 않으면 괜찮다</t>
        </is>
      </c>
      <c r="Q117" s="6" t="inlineStr">
        <is>
          <t>재미면 괜찮다</t>
        </is>
      </c>
      <c r="R117" s="6" t="inlineStr">
        <is>
          <t>AI가 했으니 책임이 없다</t>
        </is>
      </c>
      <c r="S117" s="7" t="n">
        <v>1</v>
      </c>
      <c r="T117" s="6" t="inlineStr">
        <is>
          <t>사회적 피해를 줄 수 있어 부적절하다</t>
        </is>
      </c>
      <c r="U117" s="7" t="inlineStr">
        <is>
          <t>책임 있는 활용 기초 판단</t>
        </is>
      </c>
      <c r="V117" s="6" t="inlineStr">
        <is>
          <t>중3 2번 문항풀의 책임 있는 활용 영역 진단 문항입니다. 학생이 AI·디지털 도구를 타인에게 해를 주지 않게 사용하는지를 확인하는 데 활용합니다.</t>
        </is>
      </c>
      <c r="W117" s="7" t="inlineStr">
        <is>
          <t>4-1-2-3-4-1-2-3-4-1</t>
        </is>
      </c>
    </row>
    <row r="118">
      <c r="A118" s="9" t="inlineStr">
        <is>
          <t>M3-P2-07</t>
        </is>
      </c>
      <c r="B118" s="9" t="inlineStr">
        <is>
          <t>중등</t>
        </is>
      </c>
      <c r="C118" s="9" t="inlineStr">
        <is>
          <t>중3</t>
        </is>
      </c>
      <c r="D118" s="9" t="n">
        <v>2</v>
      </c>
      <c r="E118" s="9" t="n">
        <v>2</v>
      </c>
      <c r="F118" s="10" t="inlineStr">
        <is>
          <t>2번 문항풀(AI 활용 기초)</t>
        </is>
      </c>
      <c r="G118" s="9" t="n">
        <v>7</v>
      </c>
      <c r="H118" s="9" t="inlineStr">
        <is>
          <t>COL</t>
        </is>
      </c>
      <c r="I118" s="10" t="inlineStr">
        <is>
          <t>협업 태도</t>
        </is>
      </c>
      <c r="J118" s="4" t="inlineStr">
        <is>
          <t>A</t>
        </is>
      </c>
      <c r="K118" s="9" t="inlineStr">
        <is>
          <t>N</t>
        </is>
      </c>
      <c r="L118" s="9" t="inlineStr"/>
      <c r="M118" s="9" t="inlineStr"/>
      <c r="N118" s="6" t="inlineStr">
        <is>
          <t>디지털 협업 도구를 사용할 때 가장 바람직한 태도는?</t>
        </is>
      </c>
      <c r="O118" s="6" t="inlineStr">
        <is>
          <t>수정 기록을 숨긴다</t>
        </is>
      </c>
      <c r="P118" s="6" t="inlineStr">
        <is>
          <t>의견과 수정 내용을 투명하게 남긴다</t>
        </is>
      </c>
      <c r="Q118" s="6" t="inlineStr">
        <is>
          <t>친구 기여를 지운다</t>
        </is>
      </c>
      <c r="R118" s="6" t="inlineStr">
        <is>
          <t>빠르게 끝내려고 대충 적는다</t>
        </is>
      </c>
      <c r="S118" s="7" t="n">
        <v>2</v>
      </c>
      <c r="T118" s="6" t="inlineStr">
        <is>
          <t>의견과 수정 내용을 투명하게 남긴다</t>
        </is>
      </c>
      <c r="U118" s="7" t="inlineStr">
        <is>
          <t>협업 태도 기초 판단</t>
        </is>
      </c>
      <c r="V118" s="6" t="inlineStr">
        <is>
          <t>중3 2번 문항풀의 협업 태도 영역 진단 문항입니다. 학생이 디지털 환경에서 역할을 나누고 협력하는지를 확인하는 데 활용합니다.</t>
        </is>
      </c>
      <c r="W118" s="7" t="inlineStr">
        <is>
          <t>4-1-2-3-4-1-2-3-4-1</t>
        </is>
      </c>
    </row>
    <row r="119">
      <c r="A119" s="9" t="inlineStr">
        <is>
          <t>M3-P2-08</t>
        </is>
      </c>
      <c r="B119" s="9" t="inlineStr">
        <is>
          <t>중등</t>
        </is>
      </c>
      <c r="C119" s="9" t="inlineStr">
        <is>
          <t>중3</t>
        </is>
      </c>
      <c r="D119" s="9" t="n">
        <v>2</v>
      </c>
      <c r="E119" s="9" t="n">
        <v>2</v>
      </c>
      <c r="F119" s="10" t="inlineStr">
        <is>
          <t>2번 문항풀(AI 활용 기초)</t>
        </is>
      </c>
      <c r="G119" s="9" t="n">
        <v>8</v>
      </c>
      <c r="H119" s="9" t="inlineStr">
        <is>
          <t>SELF</t>
        </is>
      </c>
      <c r="I119" s="10" t="inlineStr">
        <is>
          <t>자기주도성</t>
        </is>
      </c>
      <c r="J119" s="8" t="inlineStr">
        <is>
          <t>B</t>
        </is>
      </c>
      <c r="K119" s="9" t="inlineStr">
        <is>
          <t>N</t>
        </is>
      </c>
      <c r="L119" s="9" t="inlineStr"/>
      <c r="M119" s="9" t="inlineStr"/>
      <c r="N119" s="6" t="inlineStr">
        <is>
          <t>진학 전 디지털 역량을 준비하는 태도로 가장 알맞은 것은?</t>
        </is>
      </c>
      <c r="O119" s="6" t="inlineStr">
        <is>
          <t>필요 없다고 생각한다</t>
        </is>
      </c>
      <c r="P119" s="6" t="inlineStr">
        <is>
          <t>친구가 챙겨 줄 것이라 생각한다</t>
        </is>
      </c>
      <c r="Q119" s="6" t="inlineStr">
        <is>
          <t>부족한 부분을 스스로 점검하고 보완한다</t>
        </is>
      </c>
      <c r="R119" s="6" t="inlineStr">
        <is>
          <t>시험 끝나면 아무 상관없다고 본다</t>
        </is>
      </c>
      <c r="S119" s="7" t="n">
        <v>3</v>
      </c>
      <c r="T119" s="6" t="inlineStr">
        <is>
          <t>부족한 부분을 스스로 점검하고 보완한다</t>
        </is>
      </c>
      <c r="U119" s="7" t="inlineStr">
        <is>
          <t>자기주도성 기초 판단</t>
        </is>
      </c>
      <c r="V119" s="6" t="inlineStr">
        <is>
          <t>중3 2번 문항풀의 자기주도성 영역 진단 문항입니다. 학생이 새로운 디지털 도구를 스스로 시도하고 학습하려는지를 확인하는 데 활용합니다.</t>
        </is>
      </c>
      <c r="W119" s="7" t="inlineStr">
        <is>
          <t>4-1-2-3-4-1-2-3-4-1</t>
        </is>
      </c>
    </row>
    <row r="120">
      <c r="A120" s="9" t="inlineStr">
        <is>
          <t>M3-P2-09</t>
        </is>
      </c>
      <c r="B120" s="9" t="inlineStr">
        <is>
          <t>중등</t>
        </is>
      </c>
      <c r="C120" s="9" t="inlineStr">
        <is>
          <t>중3</t>
        </is>
      </c>
      <c r="D120" s="9" t="n">
        <v>2</v>
      </c>
      <c r="E120" s="9" t="n">
        <v>2</v>
      </c>
      <c r="F120" s="10" t="inlineStr">
        <is>
          <t>2번 문항풀(AI 활용 기초)</t>
        </is>
      </c>
      <c r="G120" s="9" t="n">
        <v>9</v>
      </c>
      <c r="H120" s="9" t="inlineStr">
        <is>
          <t>DATA</t>
        </is>
      </c>
      <c r="I120" s="10" t="inlineStr">
        <is>
          <t>데이터 이해</t>
        </is>
      </c>
      <c r="J120" s="11" t="inlineStr">
        <is>
          <t>C</t>
        </is>
      </c>
      <c r="K120" s="9" t="inlineStr">
        <is>
          <t>N</t>
        </is>
      </c>
      <c r="L120" s="9" t="inlineStr"/>
      <c r="M120" s="9" t="inlineStr"/>
      <c r="N120" s="6" t="inlineStr">
        <is>
          <t>편향된 데이터가 문제인 이유로 가장 알맞은 것은?</t>
        </is>
      </c>
      <c r="O120" s="6" t="inlineStr">
        <is>
          <t>데이터 양이 많아져서</t>
        </is>
      </c>
      <c r="P120" s="6" t="inlineStr">
        <is>
          <t>색깔이 달라서</t>
        </is>
      </c>
      <c r="Q120" s="6" t="inlineStr">
        <is>
          <t>속도가 느려서</t>
        </is>
      </c>
      <c r="R120" s="6" t="inlineStr">
        <is>
          <t>AI 결과가 한쪽으로 치우칠 수 있어서</t>
        </is>
      </c>
      <c r="S120" s="7" t="n">
        <v>4</v>
      </c>
      <c r="T120" s="6" t="inlineStr">
        <is>
          <t>AI 결과가 한쪽으로 치우칠 수 있어서</t>
        </is>
      </c>
      <c r="U120" s="7" t="inlineStr">
        <is>
          <t>데이터 이해 기초 판단</t>
        </is>
      </c>
      <c r="V120" s="6" t="inlineStr">
        <is>
          <t>중3 2번 문항풀의 데이터 이해 영역 진단 문항입니다. 학생이 데이터가 결과에 영향을 준다는 점을 이해하는지를 확인하는 데 활용합니다.</t>
        </is>
      </c>
      <c r="W120" s="7" t="inlineStr">
        <is>
          <t>4-1-2-3-4-1-2-3-4-1</t>
        </is>
      </c>
    </row>
    <row r="121">
      <c r="A121" s="9" t="inlineStr">
        <is>
          <t>M3-P2-10</t>
        </is>
      </c>
      <c r="B121" s="9" t="inlineStr">
        <is>
          <t>중등</t>
        </is>
      </c>
      <c r="C121" s="9" t="inlineStr">
        <is>
          <t>중3</t>
        </is>
      </c>
      <c r="D121" s="9" t="n">
        <v>2</v>
      </c>
      <c r="E121" s="9" t="n">
        <v>2</v>
      </c>
      <c r="F121" s="10" t="inlineStr">
        <is>
          <t>2번 문항풀(AI 활용 기초)</t>
        </is>
      </c>
      <c r="G121" s="9" t="n">
        <v>10</v>
      </c>
      <c r="H121" s="9" t="inlineStr">
        <is>
          <t>CARE</t>
        </is>
      </c>
      <c r="I121" s="10" t="inlineStr">
        <is>
          <t>진로 인식</t>
        </is>
      </c>
      <c r="J121" s="8" t="inlineStr">
        <is>
          <t>B</t>
        </is>
      </c>
      <c r="K121" s="9" t="inlineStr">
        <is>
          <t>N</t>
        </is>
      </c>
      <c r="L121" s="9" t="inlineStr"/>
      <c r="M121" s="9" t="inlineStr"/>
      <c r="N121" s="6" t="inlineStr">
        <is>
          <t>고등학교 학습과 진로 준비에 디지털 역량이 필요한 이유로 가장 알맞은 것은?</t>
        </is>
      </c>
      <c r="O121" s="6" t="inlineStr">
        <is>
          <t>탐구, 정보 탐색, 협업 등 여러 활동에 도움이 되어서</t>
        </is>
      </c>
      <c r="P121" s="6" t="inlineStr">
        <is>
          <t>컴퓨터실에서만 써서</t>
        </is>
      </c>
      <c r="Q121" s="6" t="inlineStr">
        <is>
          <t>게임을 더 잘하려고</t>
        </is>
      </c>
      <c r="R121" s="6" t="inlineStr">
        <is>
          <t>전문가가 아니면 쓸 수 없어서</t>
        </is>
      </c>
      <c r="S121" s="7" t="n">
        <v>1</v>
      </c>
      <c r="T121" s="6" t="inlineStr">
        <is>
          <t>탐구, 정보 탐색, 협업 등 여러 활동에 도움이 되어서</t>
        </is>
      </c>
      <c r="U121" s="7" t="inlineStr">
        <is>
          <t>진로 인식 기초 판단</t>
        </is>
      </c>
      <c r="V121" s="6" t="inlineStr">
        <is>
          <t>중3 2번 문항풀의 진로 인식 영역 진단 문항입니다. 학생이 디지털 역량과 진로의 연결성을 인식하는지를 확인하는 데 활용합니다.</t>
        </is>
      </c>
      <c r="W121" s="7" t="inlineStr">
        <is>
          <t>4-1-2-3-4-1-2-3-4-1</t>
        </is>
      </c>
    </row>
    <row r="122">
      <c r="A122" s="2" t="inlineStr">
        <is>
          <t>H1-P1-01</t>
        </is>
      </c>
      <c r="B122" s="2" t="inlineStr">
        <is>
          <t>고등</t>
        </is>
      </c>
      <c r="C122" s="2" t="inlineStr">
        <is>
          <t>고1</t>
        </is>
      </c>
      <c r="D122" s="2" t="n">
        <v>1</v>
      </c>
      <c r="E122" s="2" t="n">
        <v>1</v>
      </c>
      <c r="F122" s="3" t="inlineStr">
        <is>
          <t>1번 문항풀(디지털 기초소양)</t>
        </is>
      </c>
      <c r="G122" s="2" t="n">
        <v>1</v>
      </c>
      <c r="H122" s="2" t="inlineStr">
        <is>
          <t>PRIV</t>
        </is>
      </c>
      <c r="I122" s="3" t="inlineStr">
        <is>
          <t>개인정보 보호</t>
        </is>
      </c>
      <c r="J122" s="4" t="inlineStr">
        <is>
          <t>A</t>
        </is>
      </c>
      <c r="K122" s="5" t="inlineStr">
        <is>
          <t>Y</t>
        </is>
      </c>
      <c r="L122" s="5" t="inlineStr">
        <is>
          <t>고1-P1-A1</t>
        </is>
      </c>
      <c r="M122" s="5" t="inlineStr">
        <is>
          <t>기초 기준문항</t>
        </is>
      </c>
      <c r="N122" s="6" t="inlineStr">
        <is>
          <t>온라인 서비스 가입 시 개인정보를 최소한으로 제공해야 하는 이유로 가장 알맞은 것은?</t>
        </is>
      </c>
      <c r="O122" s="6" t="inlineStr">
        <is>
          <t>가입 시간이 길어져서</t>
        </is>
      </c>
      <c r="P122" s="6" t="inlineStr">
        <is>
          <t>광고가 줄어서</t>
        </is>
      </c>
      <c r="Q122" s="6" t="inlineStr">
        <is>
          <t>불필요한 정보 노출 위험을 줄일 수 있어서</t>
        </is>
      </c>
      <c r="R122" s="6" t="inlineStr">
        <is>
          <t>비밀번호를 외우기 쉬워서</t>
        </is>
      </c>
      <c r="S122" s="7" t="n">
        <v>3</v>
      </c>
      <c r="T122" s="6" t="inlineStr">
        <is>
          <t>불필요한 정보 노출 위험을 줄일 수 있어서</t>
        </is>
      </c>
      <c r="U122" s="7" t="inlineStr">
        <is>
          <t>개인정보 보호 기초 판단</t>
        </is>
      </c>
      <c r="V122" s="6" t="inlineStr">
        <is>
          <t>고1 1번 문항풀의 개인정보 보호 영역 진단 문항입니다. 학생이 개인정보 노출 위험을 인식하고 안전한 대응을 선택하는지를 확인하는 데 활용합니다.</t>
        </is>
      </c>
      <c r="W122" s="7" t="inlineStr">
        <is>
          <t>3-4-1-2-3-4-1-2-3-4</t>
        </is>
      </c>
    </row>
    <row r="123">
      <c r="A123" s="2" t="inlineStr">
        <is>
          <t>H1-P1-02</t>
        </is>
      </c>
      <c r="B123" s="2" t="inlineStr">
        <is>
          <t>고등</t>
        </is>
      </c>
      <c r="C123" s="2" t="inlineStr">
        <is>
          <t>고1</t>
        </is>
      </c>
      <c r="D123" s="2" t="n">
        <v>1</v>
      </c>
      <c r="E123" s="2" t="n">
        <v>1</v>
      </c>
      <c r="F123" s="3" t="inlineStr">
        <is>
          <t>1번 문항풀(디지털 기초소양)</t>
        </is>
      </c>
      <c r="G123" s="2" t="n">
        <v>2</v>
      </c>
      <c r="H123" s="2" t="inlineStr">
        <is>
          <t>SAFE_ACC</t>
        </is>
      </c>
      <c r="I123" s="3" t="inlineStr">
        <is>
          <t>계정 안전</t>
        </is>
      </c>
      <c r="J123" s="4" t="inlineStr">
        <is>
          <t>A</t>
        </is>
      </c>
      <c r="K123" s="2" t="inlineStr">
        <is>
          <t>N</t>
        </is>
      </c>
      <c r="L123" s="2" t="inlineStr"/>
      <c r="M123" s="2" t="inlineStr"/>
      <c r="N123" s="6" t="inlineStr">
        <is>
          <t>동일한 비밀번호를 여러 사이트에 사용하는 습관의 가장 큰 위험은?</t>
        </is>
      </c>
      <c r="O123" s="6" t="inlineStr">
        <is>
          <t>로그인 시간이 느려진다</t>
        </is>
      </c>
      <c r="P123" s="6" t="inlineStr">
        <is>
          <t>화면이 자주 꺼진다</t>
        </is>
      </c>
      <c r="Q123" s="6" t="inlineStr">
        <is>
          <t>파일 저장이 어려워진다</t>
        </is>
      </c>
      <c r="R123" s="6" t="inlineStr">
        <is>
          <t>한 곳의 유출이 여러 계정으로 번질 수 있다</t>
        </is>
      </c>
      <c r="S123" s="7" t="n">
        <v>4</v>
      </c>
      <c r="T123" s="6" t="inlineStr">
        <is>
          <t>한 곳의 유출이 여러 계정으로 번질 수 있다</t>
        </is>
      </c>
      <c r="U123" s="7" t="inlineStr">
        <is>
          <t>계정 안전 기초 판단</t>
        </is>
      </c>
      <c r="V123" s="6" t="inlineStr">
        <is>
          <t>고1 1번 문항풀의 계정 안전 영역 진단 문항입니다. 학생이 계정 보안의 기본 원칙을 이해하고 실천하려는지를 확인하는 데 활용합니다.</t>
        </is>
      </c>
      <c r="W123" s="7" t="inlineStr">
        <is>
          <t>3-4-1-2-3-4-1-2-3-4</t>
        </is>
      </c>
    </row>
    <row r="124">
      <c r="A124" s="2" t="inlineStr">
        <is>
          <t>H1-P1-03</t>
        </is>
      </c>
      <c r="B124" s="2" t="inlineStr">
        <is>
          <t>고등</t>
        </is>
      </c>
      <c r="C124" s="2" t="inlineStr">
        <is>
          <t>고1</t>
        </is>
      </c>
      <c r="D124" s="2" t="n">
        <v>1</v>
      </c>
      <c r="E124" s="2" t="n">
        <v>1</v>
      </c>
      <c r="F124" s="3" t="inlineStr">
        <is>
          <t>1번 문항풀(디지털 기초소양)</t>
        </is>
      </c>
      <c r="G124" s="2" t="n">
        <v>3</v>
      </c>
      <c r="H124" s="2" t="inlineStr">
        <is>
          <t>NET_CIT</t>
        </is>
      </c>
      <c r="I124" s="3" t="inlineStr">
        <is>
          <t>디지털 시민성</t>
        </is>
      </c>
      <c r="J124" s="8" t="inlineStr">
        <is>
          <t>B</t>
        </is>
      </c>
      <c r="K124" s="2" t="inlineStr">
        <is>
          <t>N</t>
        </is>
      </c>
      <c r="L124" s="2" t="inlineStr"/>
      <c r="M124" s="2" t="inlineStr"/>
      <c r="N124" s="6" t="inlineStr">
        <is>
          <t>SNS에 글을 올릴 때 책임이 필요한 이유로 가장 알맞은 것은?</t>
        </is>
      </c>
      <c r="O124" s="6" t="inlineStr">
        <is>
          <t>타인에게 영향을 주고 기록으로 남기 때문에</t>
        </is>
      </c>
      <c r="P124" s="6" t="inlineStr">
        <is>
          <t>글은 금방 잊히기 때문에</t>
        </is>
      </c>
      <c r="Q124" s="6" t="inlineStr">
        <is>
          <t>친구만 보기 때문에</t>
        </is>
      </c>
      <c r="R124" s="6" t="inlineStr">
        <is>
          <t>익명 계정이면 문제가 없기 때문에</t>
        </is>
      </c>
      <c r="S124" s="7" t="n">
        <v>1</v>
      </c>
      <c r="T124" s="6" t="inlineStr">
        <is>
          <t>타인에게 영향을 주고 기록으로 남기 때문에</t>
        </is>
      </c>
      <c r="U124" s="7" t="inlineStr">
        <is>
          <t>디지털 시민성 기초 판단</t>
        </is>
      </c>
      <c r="V124" s="6" t="inlineStr">
        <is>
          <t>고1 1번 문항풀의 디지털 시민성 영역 진단 문항입니다. 학생이 온라인에서 타인을 배려하고 책임 있게 행동하는지를 확인하는 데 활용합니다.</t>
        </is>
      </c>
      <c r="W124" s="7" t="inlineStr">
        <is>
          <t>3-4-1-2-3-4-1-2-3-4</t>
        </is>
      </c>
    </row>
    <row r="125">
      <c r="A125" s="2" t="inlineStr">
        <is>
          <t>H1-P1-04</t>
        </is>
      </c>
      <c r="B125" s="2" t="inlineStr">
        <is>
          <t>고등</t>
        </is>
      </c>
      <c r="C125" s="2" t="inlineStr">
        <is>
          <t>고1</t>
        </is>
      </c>
      <c r="D125" s="2" t="n">
        <v>1</v>
      </c>
      <c r="E125" s="2" t="n">
        <v>1</v>
      </c>
      <c r="F125" s="3" t="inlineStr">
        <is>
          <t>1번 문항풀(디지털 기초소양)</t>
        </is>
      </c>
      <c r="G125" s="2" t="n">
        <v>4</v>
      </c>
      <c r="H125" s="2" t="inlineStr">
        <is>
          <t>COPY</t>
        </is>
      </c>
      <c r="I125" s="3" t="inlineStr">
        <is>
          <t>저작권·학습윤리</t>
        </is>
      </c>
      <c r="J125" s="8" t="inlineStr">
        <is>
          <t>B</t>
        </is>
      </c>
      <c r="K125" s="2" t="inlineStr">
        <is>
          <t>N</t>
        </is>
      </c>
      <c r="L125" s="2" t="inlineStr"/>
      <c r="M125" s="2" t="inlineStr"/>
      <c r="N125" s="6" t="inlineStr">
        <is>
          <t>수행평가 자료로 인터넷 이미지를 사용할 때 가장 바람직한 행동은?</t>
        </is>
      </c>
      <c r="O125" s="6" t="inlineStr">
        <is>
          <t>출처 없이 사용한다</t>
        </is>
      </c>
      <c r="P125" s="6" t="inlineStr">
        <is>
          <t>출처와 이용 조건을 확인하고 사용한다</t>
        </is>
      </c>
      <c r="Q125" s="6" t="inlineStr">
        <is>
          <t>조금만 수정하면 내 자료라고 생각한다</t>
        </is>
      </c>
      <c r="R125" s="6" t="inlineStr">
        <is>
          <t>친구 자료를 그대로 가져온다</t>
        </is>
      </c>
      <c r="S125" s="7" t="n">
        <v>2</v>
      </c>
      <c r="T125" s="6" t="inlineStr">
        <is>
          <t>출처와 이용 조건을 확인하고 사용한다</t>
        </is>
      </c>
      <c r="U125" s="7" t="inlineStr">
        <is>
          <t>저작권·학습윤리 기초 판단</t>
        </is>
      </c>
      <c r="V125" s="6" t="inlineStr">
        <is>
          <t>고1 1번 문항풀의 저작권·학습윤리 영역 진단 문항입니다. 학생이 출처 표기와 학습 윤리의 필요를 이해하는지를 확인하는 데 활용합니다.</t>
        </is>
      </c>
      <c r="W125" s="7" t="inlineStr">
        <is>
          <t>3-4-1-2-3-4-1-2-3-4</t>
        </is>
      </c>
    </row>
    <row r="126">
      <c r="A126" s="2" t="inlineStr">
        <is>
          <t>H1-P1-05</t>
        </is>
      </c>
      <c r="B126" s="2" t="inlineStr">
        <is>
          <t>고등</t>
        </is>
      </c>
      <c r="C126" s="2" t="inlineStr">
        <is>
          <t>고1</t>
        </is>
      </c>
      <c r="D126" s="2" t="n">
        <v>1</v>
      </c>
      <c r="E126" s="2" t="n">
        <v>1</v>
      </c>
      <c r="F126" s="3" t="inlineStr">
        <is>
          <t>1번 문항풀(디지털 기초소양)</t>
        </is>
      </c>
      <c r="G126" s="2" t="n">
        <v>5</v>
      </c>
      <c r="H126" s="2" t="inlineStr">
        <is>
          <t>INFO</t>
        </is>
      </c>
      <c r="I126" s="3" t="inlineStr">
        <is>
          <t>정보 신뢰성</t>
        </is>
      </c>
      <c r="J126" s="11" t="inlineStr">
        <is>
          <t>C</t>
        </is>
      </c>
      <c r="K126" s="5" t="inlineStr">
        <is>
          <t>Y</t>
        </is>
      </c>
      <c r="L126" s="5" t="inlineStr">
        <is>
          <t>고1-P1-A2</t>
        </is>
      </c>
      <c r="M126" s="5" t="inlineStr">
        <is>
          <t>비판적 판단 기준문항</t>
        </is>
      </c>
      <c r="N126" s="6" t="inlineStr">
        <is>
          <t>온라인 자료의 신뢰성을 판단할 때 우선적으로 살펴볼 요소는?</t>
        </is>
      </c>
      <c r="O126" s="6" t="inlineStr">
        <is>
          <t>글자 수</t>
        </is>
      </c>
      <c r="P126" s="6" t="inlineStr">
        <is>
          <t>배경 디자인</t>
        </is>
      </c>
      <c r="Q126" s="6" t="inlineStr">
        <is>
          <t>출처와 작성 시점</t>
        </is>
      </c>
      <c r="R126" s="6" t="inlineStr">
        <is>
          <t>댓글 이모티콘</t>
        </is>
      </c>
      <c r="S126" s="7" t="n">
        <v>3</v>
      </c>
      <c r="T126" s="6" t="inlineStr">
        <is>
          <t>출처와 작성 시점</t>
        </is>
      </c>
      <c r="U126" s="7" t="inlineStr">
        <is>
          <t>정보 신뢰성 기초 판단</t>
        </is>
      </c>
      <c r="V126" s="6" t="inlineStr">
        <is>
          <t>고1 1번 문항풀의 정보 신뢰성 영역 진단 문항입니다. 학생이 온라인 정보의 출처와 신뢰도를 판단하는지를 확인하는 데 활용합니다.</t>
        </is>
      </c>
      <c r="W126" s="7" t="inlineStr">
        <is>
          <t>3-4-1-2-3-4-1-2-3-4</t>
        </is>
      </c>
    </row>
    <row r="127">
      <c r="A127" s="2" t="inlineStr">
        <is>
          <t>H1-P1-06</t>
        </is>
      </c>
      <c r="B127" s="2" t="inlineStr">
        <is>
          <t>고등</t>
        </is>
      </c>
      <c r="C127" s="2" t="inlineStr">
        <is>
          <t>고1</t>
        </is>
      </c>
      <c r="D127" s="2" t="n">
        <v>1</v>
      </c>
      <c r="E127" s="2" t="n">
        <v>1</v>
      </c>
      <c r="F127" s="3" t="inlineStr">
        <is>
          <t>1번 문항풀(디지털 기초소양)</t>
        </is>
      </c>
      <c r="G127" s="2" t="n">
        <v>6</v>
      </c>
      <c r="H127" s="2" t="inlineStr">
        <is>
          <t>INFO</t>
        </is>
      </c>
      <c r="I127" s="3" t="inlineStr">
        <is>
          <t>정보 신뢰성</t>
        </is>
      </c>
      <c r="J127" s="11" t="inlineStr">
        <is>
          <t>C</t>
        </is>
      </c>
      <c r="K127" s="2" t="inlineStr">
        <is>
          <t>N</t>
        </is>
      </c>
      <c r="L127" s="2" t="inlineStr"/>
      <c r="M127" s="2" t="inlineStr"/>
      <c r="N127" s="6" t="inlineStr">
        <is>
          <t>자극적인 제목의 게시물을 봤을 때 가장 바람직한 태도는?</t>
        </is>
      </c>
      <c r="O127" s="6" t="inlineStr">
        <is>
          <t>제목만 보고 공유한다</t>
        </is>
      </c>
      <c r="P127" s="6" t="inlineStr">
        <is>
          <t>내 생각과 맞으면 믿는다</t>
        </is>
      </c>
      <c r="Q127" s="6" t="inlineStr">
        <is>
          <t>좋아요 수만 보고 판단한다</t>
        </is>
      </c>
      <c r="R127" s="6" t="inlineStr">
        <is>
          <t>본문, 근거, 출처를 함께 확인한다</t>
        </is>
      </c>
      <c r="S127" s="7" t="n">
        <v>4</v>
      </c>
      <c r="T127" s="6" t="inlineStr">
        <is>
          <t>본문, 근거, 출처를 함께 확인한다</t>
        </is>
      </c>
      <c r="U127" s="7" t="inlineStr">
        <is>
          <t>정보 신뢰성 기초 판단</t>
        </is>
      </c>
      <c r="V127" s="6" t="inlineStr">
        <is>
          <t>고1 1번 문항풀의 정보 신뢰성 영역 진단 문항입니다. 학생이 온라인 정보의 출처와 신뢰도를 판단하는지를 확인하는 데 활용합니다.</t>
        </is>
      </c>
      <c r="W127" s="7" t="inlineStr">
        <is>
          <t>3-4-1-2-3-4-1-2-3-4</t>
        </is>
      </c>
    </row>
    <row r="128">
      <c r="A128" s="2" t="inlineStr">
        <is>
          <t>H1-P1-07</t>
        </is>
      </c>
      <c r="B128" s="2" t="inlineStr">
        <is>
          <t>고등</t>
        </is>
      </c>
      <c r="C128" s="2" t="inlineStr">
        <is>
          <t>고1</t>
        </is>
      </c>
      <c r="D128" s="2" t="n">
        <v>1</v>
      </c>
      <c r="E128" s="2" t="n">
        <v>1</v>
      </c>
      <c r="F128" s="3" t="inlineStr">
        <is>
          <t>1번 문항풀(디지털 기초소양)</t>
        </is>
      </c>
      <c r="G128" s="2" t="n">
        <v>7</v>
      </c>
      <c r="H128" s="2" t="inlineStr">
        <is>
          <t>SAFE</t>
        </is>
      </c>
      <c r="I128" s="3" t="inlineStr">
        <is>
          <t>디지털 안전</t>
        </is>
      </c>
      <c r="J128" s="4" t="inlineStr">
        <is>
          <t>A</t>
        </is>
      </c>
      <c r="K128" s="2" t="inlineStr">
        <is>
          <t>N</t>
        </is>
      </c>
      <c r="L128" s="2" t="inlineStr"/>
      <c r="M128" s="2" t="inlineStr"/>
      <c r="N128" s="6" t="inlineStr">
        <is>
          <t>피싱이 의심되는 링크를 받았을 때 가장 적절한 행동은?</t>
        </is>
      </c>
      <c r="O128" s="6" t="inlineStr">
        <is>
          <t>주소와 발신자를 확인하고 의심되면 접속하지 않는다</t>
        </is>
      </c>
      <c r="P128" s="6" t="inlineStr">
        <is>
          <t>급한 내용이면 누른다</t>
        </is>
      </c>
      <c r="Q128" s="6" t="inlineStr">
        <is>
          <t>친구에게 대신 눌러 달라고 한다</t>
        </is>
      </c>
      <c r="R128" s="6" t="inlineStr">
        <is>
          <t>링크를 다른 사람에게 전송한다</t>
        </is>
      </c>
      <c r="S128" s="7" t="n">
        <v>1</v>
      </c>
      <c r="T128" s="6" t="inlineStr">
        <is>
          <t>주소와 발신자를 확인하고 의심되면 접속하지 않는다</t>
        </is>
      </c>
      <c r="U128" s="7" t="inlineStr">
        <is>
          <t>디지털 안전 기초 판단</t>
        </is>
      </c>
      <c r="V128" s="6" t="inlineStr">
        <is>
          <t>고1 1번 문항풀의 디지털 안전 영역 진단 문항입니다. 학생이 의심스러운 상황을 인식하고 안전하게 대처하는지를 확인하는 데 활용합니다.</t>
        </is>
      </c>
      <c r="W128" s="7" t="inlineStr">
        <is>
          <t>3-4-1-2-3-4-1-2-3-4</t>
        </is>
      </c>
    </row>
    <row r="129">
      <c r="A129" s="2" t="inlineStr">
        <is>
          <t>H1-P1-08</t>
        </is>
      </c>
      <c r="B129" s="2" t="inlineStr">
        <is>
          <t>고등</t>
        </is>
      </c>
      <c r="C129" s="2" t="inlineStr">
        <is>
          <t>고1</t>
        </is>
      </c>
      <c r="D129" s="2" t="n">
        <v>1</v>
      </c>
      <c r="E129" s="2" t="n">
        <v>1</v>
      </c>
      <c r="F129" s="3" t="inlineStr">
        <is>
          <t>1번 문항풀(디지털 기초소양)</t>
        </is>
      </c>
      <c r="G129" s="2" t="n">
        <v>8</v>
      </c>
      <c r="H129" s="2" t="inlineStr">
        <is>
          <t>TRACE</t>
        </is>
      </c>
      <c r="I129" s="3" t="inlineStr">
        <is>
          <t>디지털 발자국</t>
        </is>
      </c>
      <c r="J129" s="8" t="inlineStr">
        <is>
          <t>B</t>
        </is>
      </c>
      <c r="K129" s="2" t="inlineStr">
        <is>
          <t>N</t>
        </is>
      </c>
      <c r="L129" s="2" t="inlineStr"/>
      <c r="M129" s="2" t="inlineStr"/>
      <c r="N129" s="6" t="inlineStr">
        <is>
          <t>온라인 활동 기록이 중요한 이유로 가장 알맞은 것은?</t>
        </is>
      </c>
      <c r="O129" s="6" t="inlineStr">
        <is>
          <t>삭제하면 모두 사라져서</t>
        </is>
      </c>
      <c r="P129" s="6" t="inlineStr">
        <is>
          <t>나중에 평판과 기회에 영향을 줄 수 있어서</t>
        </is>
      </c>
      <c r="Q129" s="6" t="inlineStr">
        <is>
          <t>친구끼리는 상관없어서</t>
        </is>
      </c>
      <c r="R129" s="6" t="inlineStr">
        <is>
          <t>비공개면 완전히 안전해서</t>
        </is>
      </c>
      <c r="S129" s="7" t="n">
        <v>2</v>
      </c>
      <c r="T129" s="6" t="inlineStr">
        <is>
          <t>나중에 평판과 기회에 영향을 줄 수 있어서</t>
        </is>
      </c>
      <c r="U129" s="7" t="inlineStr">
        <is>
          <t>디지털 발자국 기초 판단</t>
        </is>
      </c>
      <c r="V129" s="6" t="inlineStr">
        <is>
          <t>고1 1번 문항풀의 디지털 발자국 영역 진단 문항입니다. 학생이 온라인 기록의 지속성과 영향력을 이해하는지를 확인하는 데 활용합니다.</t>
        </is>
      </c>
      <c r="W129" s="7" t="inlineStr">
        <is>
          <t>3-4-1-2-3-4-1-2-3-4</t>
        </is>
      </c>
    </row>
    <row r="130">
      <c r="A130" s="2" t="inlineStr">
        <is>
          <t>H1-P1-09</t>
        </is>
      </c>
      <c r="B130" s="2" t="inlineStr">
        <is>
          <t>고등</t>
        </is>
      </c>
      <c r="C130" s="2" t="inlineStr">
        <is>
          <t>고1</t>
        </is>
      </c>
      <c r="D130" s="2" t="n">
        <v>1</v>
      </c>
      <c r="E130" s="2" t="n">
        <v>1</v>
      </c>
      <c r="F130" s="3" t="inlineStr">
        <is>
          <t>1번 문항풀(디지털 기초소양)</t>
        </is>
      </c>
      <c r="G130" s="2" t="n">
        <v>9</v>
      </c>
      <c r="H130" s="2" t="inlineStr">
        <is>
          <t>ETHIC</t>
        </is>
      </c>
      <c r="I130" s="3" t="inlineStr">
        <is>
          <t>학습윤리</t>
        </is>
      </c>
      <c r="J130" s="11" t="inlineStr">
        <is>
          <t>C</t>
        </is>
      </c>
      <c r="K130" s="2" t="inlineStr">
        <is>
          <t>N</t>
        </is>
      </c>
      <c r="L130" s="2" t="inlineStr"/>
      <c r="M130" s="2" t="inlineStr"/>
      <c r="N130" s="6" t="inlineStr">
        <is>
          <t>보고서에서 복붙이 문제가 되는 이유로 가장 알맞은 것은?</t>
        </is>
      </c>
      <c r="O130" s="6" t="inlineStr">
        <is>
          <t>문서가 짧아져서</t>
        </is>
      </c>
      <c r="P130" s="6" t="inlineStr">
        <is>
          <t>맞춤법이 틀려서</t>
        </is>
      </c>
      <c r="Q130" s="6" t="inlineStr">
        <is>
          <t>자기 사고와 이해 과정이 드러나지 않아서</t>
        </is>
      </c>
      <c r="R130" s="6" t="inlineStr">
        <is>
          <t>이미지가 깨져서</t>
        </is>
      </c>
      <c r="S130" s="7" t="n">
        <v>3</v>
      </c>
      <c r="T130" s="6" t="inlineStr">
        <is>
          <t>자기 사고와 이해 과정이 드러나지 않아서</t>
        </is>
      </c>
      <c r="U130" s="7" t="inlineStr">
        <is>
          <t>학습윤리 기초 판단</t>
        </is>
      </c>
      <c r="V130" s="6" t="inlineStr">
        <is>
          <t>고1 1번 문항풀의 학습윤리 영역 진단 문항입니다. 학생이 과제 수행에서 정직성과 자기 사고의 중요성을 이해하는지를 확인하는 데 활용합니다.</t>
        </is>
      </c>
      <c r="W130" s="7" t="inlineStr">
        <is>
          <t>3-4-1-2-3-4-1-2-3-4</t>
        </is>
      </c>
    </row>
    <row r="131">
      <c r="A131" s="2" t="inlineStr">
        <is>
          <t>H1-P1-10</t>
        </is>
      </c>
      <c r="B131" s="2" t="inlineStr">
        <is>
          <t>고등</t>
        </is>
      </c>
      <c r="C131" s="2" t="inlineStr">
        <is>
          <t>고1</t>
        </is>
      </c>
      <c r="D131" s="2" t="n">
        <v>1</v>
      </c>
      <c r="E131" s="2" t="n">
        <v>1</v>
      </c>
      <c r="F131" s="3" t="inlineStr">
        <is>
          <t>1번 문항풀(디지털 기초소양)</t>
        </is>
      </c>
      <c r="G131" s="2" t="n">
        <v>10</v>
      </c>
      <c r="H131" s="2" t="inlineStr">
        <is>
          <t>RESP</t>
        </is>
      </c>
      <c r="I131" s="3" t="inlineStr">
        <is>
          <t>책임감</t>
        </is>
      </c>
      <c r="J131" s="8" t="inlineStr">
        <is>
          <t>B</t>
        </is>
      </c>
      <c r="K131" s="2" t="inlineStr">
        <is>
          <t>N</t>
        </is>
      </c>
      <c r="L131" s="2" t="inlineStr"/>
      <c r="M131" s="2" t="inlineStr"/>
      <c r="N131" s="6" t="inlineStr">
        <is>
          <t>학교 클라우드나 공동 계정을 사용할 때 가장 바람직한 태도는?</t>
        </is>
      </c>
      <c r="O131" s="6" t="inlineStr">
        <is>
          <t>공유 자료를 마음대로 삭제한다</t>
        </is>
      </c>
      <c r="P131" s="6" t="inlineStr">
        <is>
          <t>친구 계정으로 접속해 본다</t>
        </is>
      </c>
      <c r="Q131" s="6" t="inlineStr">
        <is>
          <t>로그아웃하지 않고 둔다</t>
        </is>
      </c>
      <c r="R131" s="6" t="inlineStr">
        <is>
          <t>규칙을 지키고 필요한 범위 안에서 사용한다</t>
        </is>
      </c>
      <c r="S131" s="7" t="n">
        <v>4</v>
      </c>
      <c r="T131" s="6" t="inlineStr">
        <is>
          <t>규칙을 지키고 필요한 범위 안에서 사용한다</t>
        </is>
      </c>
      <c r="U131" s="7" t="inlineStr">
        <is>
          <t>책임감 기초 판단</t>
        </is>
      </c>
      <c r="V131" s="6" t="inlineStr">
        <is>
          <t>고1 1번 문항풀의 책임감 영역 진단 문항입니다. 학생이 학교·공동 환경에서 디지털 규칙을 지키는지를 확인하는 데 활용합니다.</t>
        </is>
      </c>
      <c r="W131" s="7" t="inlineStr">
        <is>
          <t>3-4-1-2-3-4-1-2-3-4</t>
        </is>
      </c>
    </row>
    <row r="132">
      <c r="A132" s="9" t="inlineStr">
        <is>
          <t>H1-P2-01</t>
        </is>
      </c>
      <c r="B132" s="9" t="inlineStr">
        <is>
          <t>고등</t>
        </is>
      </c>
      <c r="C132" s="9" t="inlineStr">
        <is>
          <t>고1</t>
        </is>
      </c>
      <c r="D132" s="9" t="n">
        <v>2</v>
      </c>
      <c r="E132" s="9" t="n">
        <v>2</v>
      </c>
      <c r="F132" s="10" t="inlineStr">
        <is>
          <t>2번 문항풀(AI 활용 기초)</t>
        </is>
      </c>
      <c r="G132" s="9" t="n">
        <v>1</v>
      </c>
      <c r="H132" s="9" t="inlineStr">
        <is>
          <t>AIU</t>
        </is>
      </c>
      <c r="I132" s="10" t="inlineStr">
        <is>
          <t>AI 이해</t>
        </is>
      </c>
      <c r="J132" s="4" t="inlineStr">
        <is>
          <t>A</t>
        </is>
      </c>
      <c r="K132" s="5" t="inlineStr">
        <is>
          <t>Y</t>
        </is>
      </c>
      <c r="L132" s="5" t="inlineStr">
        <is>
          <t>고1-P2-A1</t>
        </is>
      </c>
      <c r="M132" s="5" t="inlineStr">
        <is>
          <t>기초 기준문항</t>
        </is>
      </c>
      <c r="N132" s="6" t="inlineStr">
        <is>
          <t>생성형 AI에 대한 설명으로 가장 알맞은 것은?</t>
        </is>
      </c>
      <c r="O132" s="6" t="inlineStr">
        <is>
          <t>입력에 따라 글, 그림, 요약 등을 생성할 수 있다</t>
        </is>
      </c>
      <c r="P132" s="6" t="inlineStr">
        <is>
          <t>항상 사실만 답한다</t>
        </is>
      </c>
      <c r="Q132" s="6" t="inlineStr">
        <is>
          <t>오직 프로그래머만 사용할 수 있다</t>
        </is>
      </c>
      <c r="R132" s="6" t="inlineStr">
        <is>
          <t>사용자 의도를 완벽히 읽는다</t>
        </is>
      </c>
      <c r="S132" s="7" t="n">
        <v>1</v>
      </c>
      <c r="T132" s="6" t="inlineStr">
        <is>
          <t>입력에 따라 글, 그림, 요약 등을 생성할 수 있다</t>
        </is>
      </c>
      <c r="U132" s="7" t="inlineStr">
        <is>
          <t>AI 이해 기초 판단</t>
        </is>
      </c>
      <c r="V132" s="6" t="inlineStr">
        <is>
          <t>고1 2번 문항풀의 AI 이해 영역 진단 문항입니다. 학생이 AI의 기본 원리와 한계를 구분하는지를 확인하는 데 활용합니다.</t>
        </is>
      </c>
      <c r="W132" s="7" t="inlineStr">
        <is>
          <t>1-3-2-4-1-3-2-4-1-3</t>
        </is>
      </c>
    </row>
    <row r="133">
      <c r="A133" s="9" t="inlineStr">
        <is>
          <t>H1-P2-02</t>
        </is>
      </c>
      <c r="B133" s="9" t="inlineStr">
        <is>
          <t>고등</t>
        </is>
      </c>
      <c r="C133" s="9" t="inlineStr">
        <is>
          <t>고1</t>
        </is>
      </c>
      <c r="D133" s="9" t="n">
        <v>2</v>
      </c>
      <c r="E133" s="9" t="n">
        <v>2</v>
      </c>
      <c r="F133" s="10" t="inlineStr">
        <is>
          <t>2번 문항풀(AI 활용 기초)</t>
        </is>
      </c>
      <c r="G133" s="9" t="n">
        <v>2</v>
      </c>
      <c r="H133" s="9" t="inlineStr">
        <is>
          <t>AIU</t>
        </is>
      </c>
      <c r="I133" s="10" t="inlineStr">
        <is>
          <t>AI 이해</t>
        </is>
      </c>
      <c r="J133" s="4" t="inlineStr">
        <is>
          <t>A</t>
        </is>
      </c>
      <c r="K133" s="9" t="inlineStr">
        <is>
          <t>N</t>
        </is>
      </c>
      <c r="L133" s="9" t="inlineStr"/>
      <c r="M133" s="9" t="inlineStr"/>
      <c r="N133" s="6" t="inlineStr">
        <is>
          <t>AI가 만든 답변을 그대로 사용하면 안 되는 이유로 가장 알맞은 것은?</t>
        </is>
      </c>
      <c r="O133" s="6" t="inlineStr">
        <is>
          <t>문장이 너무 길어서</t>
        </is>
      </c>
      <c r="P133" s="6" t="inlineStr">
        <is>
          <t>색깔이 없어서</t>
        </is>
      </c>
      <c r="Q133" s="6" t="inlineStr">
        <is>
          <t>오류나 부정확한 정보가 포함될 수 있어서</t>
        </is>
      </c>
      <c r="R133" s="6" t="inlineStr">
        <is>
          <t>파일이 무거워서</t>
        </is>
      </c>
      <c r="S133" s="7" t="n">
        <v>3</v>
      </c>
      <c r="T133" s="6" t="inlineStr">
        <is>
          <t>오류나 부정확한 정보가 포함될 수 있어서</t>
        </is>
      </c>
      <c r="U133" s="7" t="inlineStr">
        <is>
          <t>AI 이해 기초 판단</t>
        </is>
      </c>
      <c r="V133" s="6" t="inlineStr">
        <is>
          <t>고1 2번 문항풀의 AI 이해 영역 진단 문항입니다. 학생이 AI의 기본 원리와 한계를 구분하는지를 확인하는 데 활용합니다.</t>
        </is>
      </c>
      <c r="W133" s="7" t="inlineStr">
        <is>
          <t>1-3-2-4-1-3-2-4-1-3</t>
        </is>
      </c>
    </row>
    <row r="134">
      <c r="A134" s="9" t="inlineStr">
        <is>
          <t>H1-P2-03</t>
        </is>
      </c>
      <c r="B134" s="9" t="inlineStr">
        <is>
          <t>고등</t>
        </is>
      </c>
      <c r="C134" s="9" t="inlineStr">
        <is>
          <t>고1</t>
        </is>
      </c>
      <c r="D134" s="9" t="n">
        <v>2</v>
      </c>
      <c r="E134" s="9" t="n">
        <v>2</v>
      </c>
      <c r="F134" s="10" t="inlineStr">
        <is>
          <t>2번 문항풀(AI 활용 기초)</t>
        </is>
      </c>
      <c r="G134" s="9" t="n">
        <v>3</v>
      </c>
      <c r="H134" s="9" t="inlineStr">
        <is>
          <t>AIA</t>
        </is>
      </c>
      <c r="I134" s="10" t="inlineStr">
        <is>
          <t>AI 활용 태도</t>
        </is>
      </c>
      <c r="J134" s="8" t="inlineStr">
        <is>
          <t>B</t>
        </is>
      </c>
      <c r="K134" s="9" t="inlineStr">
        <is>
          <t>N</t>
        </is>
      </c>
      <c r="L134" s="9" t="inlineStr"/>
      <c r="M134" s="9" t="inlineStr"/>
      <c r="N134" s="6" t="inlineStr">
        <is>
          <t>수행과제에 AI를 활용할 때 가장 바람직한 태도는?</t>
        </is>
      </c>
      <c r="O134" s="6" t="inlineStr">
        <is>
          <t>검토 없이 그대로 사용한다</t>
        </is>
      </c>
      <c r="P134" s="6" t="inlineStr">
        <is>
          <t>내가 이해하고 사실 확인 후 활용한다</t>
        </is>
      </c>
      <c r="Q134" s="6" t="inlineStr">
        <is>
          <t>친구와 똑같이 제출한다</t>
        </is>
      </c>
      <c r="R134" s="6" t="inlineStr">
        <is>
          <t>출처를 숨기고 사용한다</t>
        </is>
      </c>
      <c r="S134" s="7" t="n">
        <v>2</v>
      </c>
      <c r="T134" s="6" t="inlineStr">
        <is>
          <t>내가 이해하고 사실 확인 후 활용한다</t>
        </is>
      </c>
      <c r="U134" s="7" t="inlineStr">
        <is>
          <t>AI 활용 태도 기초 판단</t>
        </is>
      </c>
      <c r="V134" s="6" t="inlineStr">
        <is>
          <t>고1 2번 문항풀의 AI 활용 태도 영역 진단 문항입니다. 학생이 AI를 무비판적으로 사용하지 않고 검토하려는지를 확인하는 데 활용합니다.</t>
        </is>
      </c>
      <c r="W134" s="7" t="inlineStr">
        <is>
          <t>1-3-2-4-1-3-2-4-1-3</t>
        </is>
      </c>
    </row>
    <row r="135">
      <c r="A135" s="9" t="inlineStr">
        <is>
          <t>H1-P2-04</t>
        </is>
      </c>
      <c r="B135" s="9" t="inlineStr">
        <is>
          <t>고등</t>
        </is>
      </c>
      <c r="C135" s="9" t="inlineStr">
        <is>
          <t>고1</t>
        </is>
      </c>
      <c r="D135" s="9" t="n">
        <v>2</v>
      </c>
      <c r="E135" s="9" t="n">
        <v>2</v>
      </c>
      <c r="F135" s="10" t="inlineStr">
        <is>
          <t>2번 문항풀(AI 활용 기초)</t>
        </is>
      </c>
      <c r="G135" s="9" t="n">
        <v>4</v>
      </c>
      <c r="H135" s="9" t="inlineStr">
        <is>
          <t>DPS</t>
        </is>
      </c>
      <c r="I135" s="10" t="inlineStr">
        <is>
          <t>문제해결</t>
        </is>
      </c>
      <c r="J135" s="8" t="inlineStr">
        <is>
          <t>B</t>
        </is>
      </c>
      <c r="K135" s="9" t="inlineStr">
        <is>
          <t>N</t>
        </is>
      </c>
      <c r="L135" s="9" t="inlineStr"/>
      <c r="M135" s="9" t="inlineStr"/>
      <c r="N135" s="6" t="inlineStr">
        <is>
          <t>디지털 도구를 활용해 과제를 해결할 때 적절한 접근은?</t>
        </is>
      </c>
      <c r="O135" s="6" t="inlineStr">
        <is>
          <t>한 번에 안 되면 포기한다</t>
        </is>
      </c>
      <c r="P135" s="6" t="inlineStr">
        <is>
          <t>결과만 나오면 과정은 상관없다</t>
        </is>
      </c>
      <c r="Q135" s="6" t="inlineStr">
        <is>
          <t>친구가 대신 하게 한다</t>
        </is>
      </c>
      <c r="R135" s="6" t="inlineStr">
        <is>
          <t>문제를 작은 단계로 나누어 해결한다</t>
        </is>
      </c>
      <c r="S135" s="7" t="n">
        <v>4</v>
      </c>
      <c r="T135" s="6" t="inlineStr">
        <is>
          <t>문제를 작은 단계로 나누어 해결한다</t>
        </is>
      </c>
      <c r="U135" s="7" t="inlineStr">
        <is>
          <t>문제해결 기초 판단</t>
        </is>
      </c>
      <c r="V135" s="6" t="inlineStr">
        <is>
          <t>고1 2번 문항풀의 문제해결 영역 진단 문항입니다. 학생이 디지털 문제를 단계적으로 해결하려는지를 확인하는 데 활용합니다.</t>
        </is>
      </c>
      <c r="W135" s="7" t="inlineStr">
        <is>
          <t>1-3-2-4-1-3-2-4-1-3</t>
        </is>
      </c>
    </row>
    <row r="136">
      <c r="A136" s="9" t="inlineStr">
        <is>
          <t>H1-P2-05</t>
        </is>
      </c>
      <c r="B136" s="9" t="inlineStr">
        <is>
          <t>고등</t>
        </is>
      </c>
      <c r="C136" s="9" t="inlineStr">
        <is>
          <t>고1</t>
        </is>
      </c>
      <c r="D136" s="9" t="n">
        <v>2</v>
      </c>
      <c r="E136" s="9" t="n">
        <v>2</v>
      </c>
      <c r="F136" s="10" t="inlineStr">
        <is>
          <t>2번 문항풀(AI 활용 기초)</t>
        </is>
      </c>
      <c r="G136" s="9" t="n">
        <v>5</v>
      </c>
      <c r="H136" s="9" t="inlineStr">
        <is>
          <t>AIC</t>
        </is>
      </c>
      <c r="I136" s="10" t="inlineStr">
        <is>
          <t>결과 검토</t>
        </is>
      </c>
      <c r="J136" s="11" t="inlineStr">
        <is>
          <t>C</t>
        </is>
      </c>
      <c r="K136" s="5" t="inlineStr">
        <is>
          <t>Y</t>
        </is>
      </c>
      <c r="L136" s="5" t="inlineStr">
        <is>
          <t>고1-P2-A2</t>
        </is>
      </c>
      <c r="M136" s="5" t="inlineStr">
        <is>
          <t>비판적 판단 기준문항</t>
        </is>
      </c>
      <c r="N136" s="6" t="inlineStr">
        <is>
          <t>AI가 요약한 내용을 활용하기 전에 가장 먼저 할 일은?</t>
        </is>
      </c>
      <c r="O136" s="6" t="inlineStr">
        <is>
          <t>원자료와 비교해 핵심이 맞는지 확인한다</t>
        </is>
      </c>
      <c r="P136" s="6" t="inlineStr">
        <is>
          <t>길이가 적당한지 본다</t>
        </is>
      </c>
      <c r="Q136" s="6" t="inlineStr">
        <is>
          <t>친구에게만 묻는다</t>
        </is>
      </c>
      <c r="R136" s="6" t="inlineStr">
        <is>
          <t>형식이 예쁘면 그대로 쓴다</t>
        </is>
      </c>
      <c r="S136" s="7" t="n">
        <v>1</v>
      </c>
      <c r="T136" s="6" t="inlineStr">
        <is>
          <t>원자료와 비교해 핵심이 맞는지 확인한다</t>
        </is>
      </c>
      <c r="U136" s="7" t="inlineStr">
        <is>
          <t>결과 검토 기초 판단</t>
        </is>
      </c>
      <c r="V136" s="6" t="inlineStr">
        <is>
          <t>고1 2번 문항풀의 결과 검토 영역 진단 문항입니다. 학생이 AI·디지털 결과물을 근거 중심으로 다시 확인하는지를 확인하는 데 활용합니다.</t>
        </is>
      </c>
      <c r="W136" s="7" t="inlineStr">
        <is>
          <t>1-3-2-4-1-3-2-4-1-3</t>
        </is>
      </c>
    </row>
    <row r="137">
      <c r="A137" s="9" t="inlineStr">
        <is>
          <t>H1-P2-06</t>
        </is>
      </c>
      <c r="B137" s="9" t="inlineStr">
        <is>
          <t>고등</t>
        </is>
      </c>
      <c r="C137" s="9" t="inlineStr">
        <is>
          <t>고1</t>
        </is>
      </c>
      <c r="D137" s="9" t="n">
        <v>2</v>
      </c>
      <c r="E137" s="9" t="n">
        <v>2</v>
      </c>
      <c r="F137" s="10" t="inlineStr">
        <is>
          <t>2번 문항풀(AI 활용 기초)</t>
        </is>
      </c>
      <c r="G137" s="9" t="n">
        <v>6</v>
      </c>
      <c r="H137" s="9" t="inlineStr">
        <is>
          <t>AIE</t>
        </is>
      </c>
      <c r="I137" s="10" t="inlineStr">
        <is>
          <t>책임 있는 활용</t>
        </is>
      </c>
      <c r="J137" s="11" t="inlineStr">
        <is>
          <t>C</t>
        </is>
      </c>
      <c r="K137" s="9" t="inlineStr">
        <is>
          <t>N</t>
        </is>
      </c>
      <c r="L137" s="9" t="inlineStr"/>
      <c r="M137" s="9" t="inlineStr"/>
      <c r="N137" s="6" t="inlineStr">
        <is>
          <t>AI로 허위 이미지를 만들어 공유하는 행동에 대한 판단으로 가장 알맞은 것은?</t>
        </is>
      </c>
      <c r="O137" s="6" t="inlineStr">
        <is>
          <t>재미면 괜찮다</t>
        </is>
      </c>
      <c r="P137" s="6" t="inlineStr">
        <is>
          <t>들키지 않으면 괜찮다</t>
        </is>
      </c>
      <c r="Q137" s="6" t="inlineStr">
        <is>
          <t>사람을 속이거나 피해를 줄 수 있어 부적절하다</t>
        </is>
      </c>
      <c r="R137" s="6" t="inlineStr">
        <is>
          <t>내 계정이 아니면 상관없다</t>
        </is>
      </c>
      <c r="S137" s="7" t="n">
        <v>3</v>
      </c>
      <c r="T137" s="6" t="inlineStr">
        <is>
          <t>사람을 속이거나 피해를 줄 수 있어 부적절하다</t>
        </is>
      </c>
      <c r="U137" s="7" t="inlineStr">
        <is>
          <t>책임 있는 활용 기초 판단</t>
        </is>
      </c>
      <c r="V137" s="6" t="inlineStr">
        <is>
          <t>고1 2번 문항풀의 책임 있는 활용 영역 진단 문항입니다. 학생이 AI·디지털 도구를 타인에게 해를 주지 않게 사용하는지를 확인하는 데 활용합니다.</t>
        </is>
      </c>
      <c r="W137" s="7" t="inlineStr">
        <is>
          <t>1-3-2-4-1-3-2-4-1-3</t>
        </is>
      </c>
    </row>
    <row r="138">
      <c r="A138" s="9" t="inlineStr">
        <is>
          <t>H1-P2-07</t>
        </is>
      </c>
      <c r="B138" s="9" t="inlineStr">
        <is>
          <t>고등</t>
        </is>
      </c>
      <c r="C138" s="9" t="inlineStr">
        <is>
          <t>고1</t>
        </is>
      </c>
      <c r="D138" s="9" t="n">
        <v>2</v>
      </c>
      <c r="E138" s="9" t="n">
        <v>2</v>
      </c>
      <c r="F138" s="10" t="inlineStr">
        <is>
          <t>2번 문항풀(AI 활용 기초)</t>
        </is>
      </c>
      <c r="G138" s="9" t="n">
        <v>7</v>
      </c>
      <c r="H138" s="9" t="inlineStr">
        <is>
          <t>COL</t>
        </is>
      </c>
      <c r="I138" s="10" t="inlineStr">
        <is>
          <t>협업 태도</t>
        </is>
      </c>
      <c r="J138" s="4" t="inlineStr">
        <is>
          <t>A</t>
        </is>
      </c>
      <c r="K138" s="9" t="inlineStr">
        <is>
          <t>N</t>
        </is>
      </c>
      <c r="L138" s="9" t="inlineStr"/>
      <c r="M138" s="9" t="inlineStr"/>
      <c r="N138" s="6" t="inlineStr">
        <is>
          <t>공동 프로젝트에서 디지털 도구를 사용할 때 가장 좋은 방법은?</t>
        </is>
      </c>
      <c r="O138" s="6" t="inlineStr">
        <is>
          <t>한 명에게 자료 정리를 몰아준다</t>
        </is>
      </c>
      <c r="P138" s="6" t="inlineStr">
        <is>
          <t>역할을 나누고 기여 내용을 공유한다</t>
        </is>
      </c>
      <c r="Q138" s="6" t="inlineStr">
        <is>
          <t>다른 팀 자료를 가져온다</t>
        </is>
      </c>
      <c r="R138" s="6" t="inlineStr">
        <is>
          <t>수정 기록을 숨긴다</t>
        </is>
      </c>
      <c r="S138" s="7" t="n">
        <v>2</v>
      </c>
      <c r="T138" s="6" t="inlineStr">
        <is>
          <t>역할을 나누고 기여 내용을 공유한다</t>
        </is>
      </c>
      <c r="U138" s="7" t="inlineStr">
        <is>
          <t>협업 태도 기초 판단</t>
        </is>
      </c>
      <c r="V138" s="6" t="inlineStr">
        <is>
          <t>고1 2번 문항풀의 협업 태도 영역 진단 문항입니다. 학생이 디지털 환경에서 역할을 나누고 협력하는지를 확인하는 데 활용합니다.</t>
        </is>
      </c>
      <c r="W138" s="7" t="inlineStr">
        <is>
          <t>1-3-2-4-1-3-2-4-1-3</t>
        </is>
      </c>
    </row>
    <row r="139">
      <c r="A139" s="9" t="inlineStr">
        <is>
          <t>H1-P2-08</t>
        </is>
      </c>
      <c r="B139" s="9" t="inlineStr">
        <is>
          <t>고등</t>
        </is>
      </c>
      <c r="C139" s="9" t="inlineStr">
        <is>
          <t>고1</t>
        </is>
      </c>
      <c r="D139" s="9" t="n">
        <v>2</v>
      </c>
      <c r="E139" s="9" t="n">
        <v>2</v>
      </c>
      <c r="F139" s="10" t="inlineStr">
        <is>
          <t>2번 문항풀(AI 활용 기초)</t>
        </is>
      </c>
      <c r="G139" s="9" t="n">
        <v>8</v>
      </c>
      <c r="H139" s="9" t="inlineStr">
        <is>
          <t>SELF</t>
        </is>
      </c>
      <c r="I139" s="10" t="inlineStr">
        <is>
          <t>자기주도성</t>
        </is>
      </c>
      <c r="J139" s="8" t="inlineStr">
        <is>
          <t>B</t>
        </is>
      </c>
      <c r="K139" s="9" t="inlineStr">
        <is>
          <t>N</t>
        </is>
      </c>
      <c r="L139" s="9" t="inlineStr"/>
      <c r="M139" s="9" t="inlineStr"/>
      <c r="N139" s="6" t="inlineStr">
        <is>
          <t>새로운 학습 도구를 만났을 때 가장 바람직한 태도는?</t>
        </is>
      </c>
      <c r="O139" s="6" t="inlineStr">
        <is>
          <t>익숙하지 않으면 바로 포기한다</t>
        </is>
      </c>
      <c r="P139" s="6" t="inlineStr">
        <is>
          <t>친구가 할 때만 한다</t>
        </is>
      </c>
      <c r="Q139" s="6" t="inlineStr">
        <is>
          <t>결과만 받는다</t>
        </is>
      </c>
      <c r="R139" s="6" t="inlineStr">
        <is>
          <t>가이드를 보며 직접 사용해 보고 익힌다</t>
        </is>
      </c>
      <c r="S139" s="7" t="n">
        <v>4</v>
      </c>
      <c r="T139" s="6" t="inlineStr">
        <is>
          <t>가이드를 보며 직접 사용해 보고 익힌다</t>
        </is>
      </c>
      <c r="U139" s="7" t="inlineStr">
        <is>
          <t>자기주도성 기초 판단</t>
        </is>
      </c>
      <c r="V139" s="6" t="inlineStr">
        <is>
          <t>고1 2번 문항풀의 자기주도성 영역 진단 문항입니다. 학생이 새로운 디지털 도구를 스스로 시도하고 학습하려는지를 확인하는 데 활용합니다.</t>
        </is>
      </c>
      <c r="W139" s="7" t="inlineStr">
        <is>
          <t>1-3-2-4-1-3-2-4-1-3</t>
        </is>
      </c>
    </row>
    <row r="140">
      <c r="A140" s="9" t="inlineStr">
        <is>
          <t>H1-P2-09</t>
        </is>
      </c>
      <c r="B140" s="9" t="inlineStr">
        <is>
          <t>고등</t>
        </is>
      </c>
      <c r="C140" s="9" t="inlineStr">
        <is>
          <t>고1</t>
        </is>
      </c>
      <c r="D140" s="9" t="n">
        <v>2</v>
      </c>
      <c r="E140" s="9" t="n">
        <v>2</v>
      </c>
      <c r="F140" s="10" t="inlineStr">
        <is>
          <t>2번 문항풀(AI 활용 기초)</t>
        </is>
      </c>
      <c r="G140" s="9" t="n">
        <v>9</v>
      </c>
      <c r="H140" s="9" t="inlineStr">
        <is>
          <t>DATA</t>
        </is>
      </c>
      <c r="I140" s="10" t="inlineStr">
        <is>
          <t>데이터 이해</t>
        </is>
      </c>
      <c r="J140" s="11" t="inlineStr">
        <is>
          <t>C</t>
        </is>
      </c>
      <c r="K140" s="9" t="inlineStr">
        <is>
          <t>N</t>
        </is>
      </c>
      <c r="L140" s="9" t="inlineStr"/>
      <c r="M140" s="9" t="inlineStr"/>
      <c r="N140" s="6" t="inlineStr">
        <is>
          <t>AI 결과를 이해할 때 필요한 관점으로 가장 알맞은 것은?</t>
        </is>
      </c>
      <c r="O140" s="6" t="inlineStr">
        <is>
          <t>데이터와 입력에 따라 결과가 달라질 수 있다는 점</t>
        </is>
      </c>
      <c r="P140" s="6" t="inlineStr">
        <is>
          <t>기기 가격이 비쌀수록 정확하다는 점</t>
        </is>
      </c>
      <c r="Q140" s="6" t="inlineStr">
        <is>
          <t>와이파이가 빠르면 사실이라는 점</t>
        </is>
      </c>
      <c r="R140" s="6" t="inlineStr">
        <is>
          <t>화면이 크면 공정하다는 점</t>
        </is>
      </c>
      <c r="S140" s="7" t="n">
        <v>1</v>
      </c>
      <c r="T140" s="6" t="inlineStr">
        <is>
          <t>데이터와 입력에 따라 결과가 달라질 수 있다는 점</t>
        </is>
      </c>
      <c r="U140" s="7" t="inlineStr">
        <is>
          <t>데이터 이해 기초 판단</t>
        </is>
      </c>
      <c r="V140" s="6" t="inlineStr">
        <is>
          <t>고1 2번 문항풀의 데이터 이해 영역 진단 문항입니다. 학생이 데이터가 결과에 영향을 준다는 점을 이해하는지를 확인하는 데 활용합니다.</t>
        </is>
      </c>
      <c r="W140" s="7" t="inlineStr">
        <is>
          <t>1-3-2-4-1-3-2-4-1-3</t>
        </is>
      </c>
    </row>
    <row r="141">
      <c r="A141" s="9" t="inlineStr">
        <is>
          <t>H1-P2-10</t>
        </is>
      </c>
      <c r="B141" s="9" t="inlineStr">
        <is>
          <t>고등</t>
        </is>
      </c>
      <c r="C141" s="9" t="inlineStr">
        <is>
          <t>고1</t>
        </is>
      </c>
      <c r="D141" s="9" t="n">
        <v>2</v>
      </c>
      <c r="E141" s="9" t="n">
        <v>2</v>
      </c>
      <c r="F141" s="10" t="inlineStr">
        <is>
          <t>2번 문항풀(AI 활용 기초)</t>
        </is>
      </c>
      <c r="G141" s="9" t="n">
        <v>10</v>
      </c>
      <c r="H141" s="9" t="inlineStr">
        <is>
          <t>CARE</t>
        </is>
      </c>
      <c r="I141" s="10" t="inlineStr">
        <is>
          <t>진로 인식</t>
        </is>
      </c>
      <c r="J141" s="8" t="inlineStr">
        <is>
          <t>B</t>
        </is>
      </c>
      <c r="K141" s="9" t="inlineStr">
        <is>
          <t>N</t>
        </is>
      </c>
      <c r="L141" s="9" t="inlineStr"/>
      <c r="M141" s="9" t="inlineStr"/>
      <c r="N141" s="6" t="inlineStr">
        <is>
          <t>고등학교에서 디지털 역량을 키우는 의미로 가장 알맞은 것은?</t>
        </is>
      </c>
      <c r="O141" s="6" t="inlineStr">
        <is>
          <t>정보 과목 시험을 위해서만</t>
        </is>
      </c>
      <c r="P141" s="6" t="inlineStr">
        <is>
          <t>일부 전공만 필요해서</t>
        </is>
      </c>
      <c r="Q141" s="6" t="inlineStr">
        <is>
          <t>진로 탐색과 다양한 학습 활동에 도움이 되어서</t>
        </is>
      </c>
      <c r="R141" s="6" t="inlineStr">
        <is>
          <t>대학과 무관해서</t>
        </is>
      </c>
      <c r="S141" s="7" t="n">
        <v>3</v>
      </c>
      <c r="T141" s="6" t="inlineStr">
        <is>
          <t>진로 탐색과 다양한 학습 활동에 도움이 되어서</t>
        </is>
      </c>
      <c r="U141" s="7" t="inlineStr">
        <is>
          <t>진로 인식 기초 판단</t>
        </is>
      </c>
      <c r="V141" s="6" t="inlineStr">
        <is>
          <t>고1 2번 문항풀의 진로 인식 영역 진단 문항입니다. 학생이 디지털 역량과 진로의 연결성을 인식하는지를 확인하는 데 활용합니다.</t>
        </is>
      </c>
      <c r="W141" s="7" t="inlineStr">
        <is>
          <t>1-3-2-4-1-3-2-4-1-3</t>
        </is>
      </c>
    </row>
    <row r="142">
      <c r="A142" s="2" t="inlineStr">
        <is>
          <t>H2-P1-01</t>
        </is>
      </c>
      <c r="B142" s="2" t="inlineStr">
        <is>
          <t>고등</t>
        </is>
      </c>
      <c r="C142" s="2" t="inlineStr">
        <is>
          <t>고2</t>
        </is>
      </c>
      <c r="D142" s="2" t="n">
        <v>1</v>
      </c>
      <c r="E142" s="2" t="n">
        <v>1</v>
      </c>
      <c r="F142" s="3" t="inlineStr">
        <is>
          <t>1번 문항풀(디지털 기초소양)</t>
        </is>
      </c>
      <c r="G142" s="2" t="n">
        <v>1</v>
      </c>
      <c r="H142" s="2" t="inlineStr">
        <is>
          <t>PRIV</t>
        </is>
      </c>
      <c r="I142" s="3" t="inlineStr">
        <is>
          <t>개인정보 보호</t>
        </is>
      </c>
      <c r="J142" s="4" t="inlineStr">
        <is>
          <t>A</t>
        </is>
      </c>
      <c r="K142" s="5" t="inlineStr">
        <is>
          <t>Y</t>
        </is>
      </c>
      <c r="L142" s="5" t="inlineStr">
        <is>
          <t>고2-P1-A1</t>
        </is>
      </c>
      <c r="M142" s="5" t="inlineStr">
        <is>
          <t>기초 기준문항</t>
        </is>
      </c>
      <c r="N142" s="6" t="inlineStr">
        <is>
          <t>클라우드 서비스를 사용할 때 개인정보 관리와 관련해 가장 바람직한 태도는?</t>
        </is>
      </c>
      <c r="O142" s="6" t="inlineStr">
        <is>
          <t>공유 링크를 누구나 볼 수 있게 둔다</t>
        </is>
      </c>
      <c r="P142" s="6" t="inlineStr">
        <is>
          <t>편하니 자동 공개로 둔다</t>
        </is>
      </c>
      <c r="Q142" s="6" t="inlineStr">
        <is>
          <t>친구 계정도 함께 저장한다</t>
        </is>
      </c>
      <c r="R142" s="6" t="inlineStr">
        <is>
          <t>공개 범위를 확인하고 필요한 사람에게만 공유한다</t>
        </is>
      </c>
      <c r="S142" s="7" t="n">
        <v>4</v>
      </c>
      <c r="T142" s="6" t="inlineStr">
        <is>
          <t>공개 범위를 확인하고 필요한 사람에게만 공유한다</t>
        </is>
      </c>
      <c r="U142" s="7" t="inlineStr">
        <is>
          <t>개인정보 보호 기초 판단</t>
        </is>
      </c>
      <c r="V142" s="6" t="inlineStr">
        <is>
          <t>고2 1번 문항풀의 개인정보 보호 영역 진단 문항입니다. 학생이 개인정보 노출 위험을 인식하고 안전한 대응을 선택하는지를 확인하는 데 활용합니다.</t>
        </is>
      </c>
      <c r="W142" s="7" t="inlineStr">
        <is>
          <t>4-1-2-3-4-1-2-3-4-1</t>
        </is>
      </c>
    </row>
    <row r="143">
      <c r="A143" s="2" t="inlineStr">
        <is>
          <t>H2-P1-02</t>
        </is>
      </c>
      <c r="B143" s="2" t="inlineStr">
        <is>
          <t>고등</t>
        </is>
      </c>
      <c r="C143" s="2" t="inlineStr">
        <is>
          <t>고2</t>
        </is>
      </c>
      <c r="D143" s="2" t="n">
        <v>1</v>
      </c>
      <c r="E143" s="2" t="n">
        <v>1</v>
      </c>
      <c r="F143" s="3" t="inlineStr">
        <is>
          <t>1번 문항풀(디지털 기초소양)</t>
        </is>
      </c>
      <c r="G143" s="2" t="n">
        <v>2</v>
      </c>
      <c r="H143" s="2" t="inlineStr">
        <is>
          <t>SAFE_ACC</t>
        </is>
      </c>
      <c r="I143" s="3" t="inlineStr">
        <is>
          <t>계정 안전</t>
        </is>
      </c>
      <c r="J143" s="4" t="inlineStr">
        <is>
          <t>A</t>
        </is>
      </c>
      <c r="K143" s="2" t="inlineStr">
        <is>
          <t>N</t>
        </is>
      </c>
      <c r="L143" s="2" t="inlineStr"/>
      <c r="M143" s="2" t="inlineStr"/>
      <c r="N143" s="6" t="inlineStr">
        <is>
          <t>보안에 도움이 되는 방법으로 가장 알맞은 것은?</t>
        </is>
      </c>
      <c r="O143" s="6" t="inlineStr">
        <is>
          <t>다중 인증을 활용한다</t>
        </is>
      </c>
      <c r="P143" s="6" t="inlineStr">
        <is>
          <t>생일과 이름 조합만 사용</t>
        </is>
      </c>
      <c r="Q143" s="6" t="inlineStr">
        <is>
          <t>모든 사이트에 같은 비밀번호 사용</t>
        </is>
      </c>
      <c r="R143" s="6" t="inlineStr">
        <is>
          <t>비밀번호를 메신저에 보내 둔다</t>
        </is>
      </c>
      <c r="S143" s="7" t="n">
        <v>1</v>
      </c>
      <c r="T143" s="6" t="inlineStr">
        <is>
          <t>다중 인증을 활용한다</t>
        </is>
      </c>
      <c r="U143" s="7" t="inlineStr">
        <is>
          <t>계정 안전 기초 판단</t>
        </is>
      </c>
      <c r="V143" s="6" t="inlineStr">
        <is>
          <t>고2 1번 문항풀의 계정 안전 영역 진단 문항입니다. 학생이 계정 보안의 기본 원칙을 이해하고 실천하려는지를 확인하는 데 활용합니다.</t>
        </is>
      </c>
      <c r="W143" s="7" t="inlineStr">
        <is>
          <t>4-1-2-3-4-1-2-3-4-1</t>
        </is>
      </c>
    </row>
    <row r="144">
      <c r="A144" s="2" t="inlineStr">
        <is>
          <t>H2-P1-03</t>
        </is>
      </c>
      <c r="B144" s="2" t="inlineStr">
        <is>
          <t>고등</t>
        </is>
      </c>
      <c r="C144" s="2" t="inlineStr">
        <is>
          <t>고2</t>
        </is>
      </c>
      <c r="D144" s="2" t="n">
        <v>1</v>
      </c>
      <c r="E144" s="2" t="n">
        <v>1</v>
      </c>
      <c r="F144" s="3" t="inlineStr">
        <is>
          <t>1번 문항풀(디지털 기초소양)</t>
        </is>
      </c>
      <c r="G144" s="2" t="n">
        <v>3</v>
      </c>
      <c r="H144" s="2" t="inlineStr">
        <is>
          <t>NET_CIT</t>
        </is>
      </c>
      <c r="I144" s="3" t="inlineStr">
        <is>
          <t>디지털 시민성</t>
        </is>
      </c>
      <c r="J144" s="8" t="inlineStr">
        <is>
          <t>B</t>
        </is>
      </c>
      <c r="K144" s="2" t="inlineStr">
        <is>
          <t>N</t>
        </is>
      </c>
      <c r="L144" s="2" t="inlineStr"/>
      <c r="M144" s="2" t="inlineStr"/>
      <c r="N144" s="6" t="inlineStr">
        <is>
          <t>온라인 토론에서 책임 있는 태도로 가장 알맞은 것은?</t>
        </is>
      </c>
      <c r="O144" s="6" t="inlineStr">
        <is>
          <t>의견이 다르면 인신공격한다</t>
        </is>
      </c>
      <c r="P144" s="6" t="inlineStr">
        <is>
          <t>근거를 제시하며 예의를 지켜 표현한다</t>
        </is>
      </c>
      <c r="Q144" s="6" t="inlineStr">
        <is>
          <t>조회 수를 위해 자극적으로 말한다</t>
        </is>
      </c>
      <c r="R144" s="6" t="inlineStr">
        <is>
          <t>익명이면 막말해도 괜찮다</t>
        </is>
      </c>
      <c r="S144" s="7" t="n">
        <v>2</v>
      </c>
      <c r="T144" s="6" t="inlineStr">
        <is>
          <t>근거를 제시하며 예의를 지켜 표현한다</t>
        </is>
      </c>
      <c r="U144" s="7" t="inlineStr">
        <is>
          <t>디지털 시민성 기초 판단</t>
        </is>
      </c>
      <c r="V144" s="6" t="inlineStr">
        <is>
          <t>고2 1번 문항풀의 디지털 시민성 영역 진단 문항입니다. 학생이 온라인에서 타인을 배려하고 책임 있게 행동하는지를 확인하는 데 활용합니다.</t>
        </is>
      </c>
      <c r="W144" s="7" t="inlineStr">
        <is>
          <t>4-1-2-3-4-1-2-3-4-1</t>
        </is>
      </c>
    </row>
    <row r="145">
      <c r="A145" s="2" t="inlineStr">
        <is>
          <t>H2-P1-04</t>
        </is>
      </c>
      <c r="B145" s="2" t="inlineStr">
        <is>
          <t>고등</t>
        </is>
      </c>
      <c r="C145" s="2" t="inlineStr">
        <is>
          <t>고2</t>
        </is>
      </c>
      <c r="D145" s="2" t="n">
        <v>1</v>
      </c>
      <c r="E145" s="2" t="n">
        <v>1</v>
      </c>
      <c r="F145" s="3" t="inlineStr">
        <is>
          <t>1번 문항풀(디지털 기초소양)</t>
        </is>
      </c>
      <c r="G145" s="2" t="n">
        <v>4</v>
      </c>
      <c r="H145" s="2" t="inlineStr">
        <is>
          <t>COPY</t>
        </is>
      </c>
      <c r="I145" s="3" t="inlineStr">
        <is>
          <t>저작권·학습윤리</t>
        </is>
      </c>
      <c r="J145" s="8" t="inlineStr">
        <is>
          <t>B</t>
        </is>
      </c>
      <c r="K145" s="2" t="inlineStr">
        <is>
          <t>N</t>
        </is>
      </c>
      <c r="L145" s="2" t="inlineStr"/>
      <c r="M145" s="2" t="inlineStr"/>
      <c r="N145" s="6" t="inlineStr">
        <is>
          <t>영상·이미지·문서를 참고할 때 가장 바람직한 태도는?</t>
        </is>
      </c>
      <c r="O145" s="6" t="inlineStr">
        <is>
          <t>인터넷 자료는 모두 자유 사용 가능하다고 본다</t>
        </is>
      </c>
      <c r="P145" s="6" t="inlineStr">
        <is>
          <t>조금만 바꾸면 내 자료라고 생각한다</t>
        </is>
      </c>
      <c r="Q145" s="6" t="inlineStr">
        <is>
          <t>사용 조건과 출처를 확인한다</t>
        </is>
      </c>
      <c r="R145" s="6" t="inlineStr">
        <is>
          <t>친구가 준 파일이면 그대로 써도 된다</t>
        </is>
      </c>
      <c r="S145" s="7" t="n">
        <v>3</v>
      </c>
      <c r="T145" s="6" t="inlineStr">
        <is>
          <t>사용 조건과 출처를 확인한다</t>
        </is>
      </c>
      <c r="U145" s="7" t="inlineStr">
        <is>
          <t>저작권·학습윤리 기초 판단</t>
        </is>
      </c>
      <c r="V145" s="6" t="inlineStr">
        <is>
          <t>고2 1번 문항풀의 저작권·학습윤리 영역 진단 문항입니다. 학생이 출처 표기와 학습 윤리의 필요를 이해하는지를 확인하는 데 활용합니다.</t>
        </is>
      </c>
      <c r="W145" s="7" t="inlineStr">
        <is>
          <t>4-1-2-3-4-1-2-3-4-1</t>
        </is>
      </c>
    </row>
    <row r="146">
      <c r="A146" s="2" t="inlineStr">
        <is>
          <t>H2-P1-05</t>
        </is>
      </c>
      <c r="B146" s="2" t="inlineStr">
        <is>
          <t>고등</t>
        </is>
      </c>
      <c r="C146" s="2" t="inlineStr">
        <is>
          <t>고2</t>
        </is>
      </c>
      <c r="D146" s="2" t="n">
        <v>1</v>
      </c>
      <c r="E146" s="2" t="n">
        <v>1</v>
      </c>
      <c r="F146" s="3" t="inlineStr">
        <is>
          <t>1번 문항풀(디지털 기초소양)</t>
        </is>
      </c>
      <c r="G146" s="2" t="n">
        <v>5</v>
      </c>
      <c r="H146" s="2" t="inlineStr">
        <is>
          <t>INFO</t>
        </is>
      </c>
      <c r="I146" s="3" t="inlineStr">
        <is>
          <t>정보 신뢰성</t>
        </is>
      </c>
      <c r="J146" s="11" t="inlineStr">
        <is>
          <t>C</t>
        </is>
      </c>
      <c r="K146" s="5" t="inlineStr">
        <is>
          <t>Y</t>
        </is>
      </c>
      <c r="L146" s="5" t="inlineStr">
        <is>
          <t>고2-P1-A2</t>
        </is>
      </c>
      <c r="M146" s="5" t="inlineStr">
        <is>
          <t>비판적 판단 기준문항</t>
        </is>
      </c>
      <c r="N146" s="6" t="inlineStr">
        <is>
          <t>근거 수준이 다른 자료를 비교할 때 더 신뢰할 가능성이 높은 것은?</t>
        </is>
      </c>
      <c r="O146" s="6" t="inlineStr">
        <is>
          <t>조회 수가 높은 자료</t>
        </is>
      </c>
      <c r="P146" s="6" t="inlineStr">
        <is>
          <t>제목이 자극적인 자료</t>
        </is>
      </c>
      <c r="Q146" s="6" t="inlineStr">
        <is>
          <t>친구가 추천한 자료</t>
        </is>
      </c>
      <c r="R146" s="6" t="inlineStr">
        <is>
          <t>출처와 근거가 분명한 자료</t>
        </is>
      </c>
      <c r="S146" s="7" t="n">
        <v>4</v>
      </c>
      <c r="T146" s="6" t="inlineStr">
        <is>
          <t>출처와 근거가 분명한 자료</t>
        </is>
      </c>
      <c r="U146" s="7" t="inlineStr">
        <is>
          <t>정보 신뢰성 기초 판단</t>
        </is>
      </c>
      <c r="V146" s="6" t="inlineStr">
        <is>
          <t>고2 1번 문항풀의 정보 신뢰성 영역 진단 문항입니다. 학생이 온라인 정보의 출처와 신뢰도를 판단하는지를 확인하는 데 활용합니다.</t>
        </is>
      </c>
      <c r="W146" s="7" t="inlineStr">
        <is>
          <t>4-1-2-3-4-1-2-3-4-1</t>
        </is>
      </c>
    </row>
    <row r="147">
      <c r="A147" s="2" t="inlineStr">
        <is>
          <t>H2-P1-06</t>
        </is>
      </c>
      <c r="B147" s="2" t="inlineStr">
        <is>
          <t>고등</t>
        </is>
      </c>
      <c r="C147" s="2" t="inlineStr">
        <is>
          <t>고2</t>
        </is>
      </c>
      <c r="D147" s="2" t="n">
        <v>1</v>
      </c>
      <c r="E147" s="2" t="n">
        <v>1</v>
      </c>
      <c r="F147" s="3" t="inlineStr">
        <is>
          <t>1번 문항풀(디지털 기초소양)</t>
        </is>
      </c>
      <c r="G147" s="2" t="n">
        <v>6</v>
      </c>
      <c r="H147" s="2" t="inlineStr">
        <is>
          <t>INFO</t>
        </is>
      </c>
      <c r="I147" s="3" t="inlineStr">
        <is>
          <t>정보 신뢰성</t>
        </is>
      </c>
      <c r="J147" s="11" t="inlineStr">
        <is>
          <t>C</t>
        </is>
      </c>
      <c r="K147" s="2" t="inlineStr">
        <is>
          <t>N</t>
        </is>
      </c>
      <c r="L147" s="2" t="inlineStr"/>
      <c r="M147" s="2" t="inlineStr"/>
      <c r="N147" s="6" t="inlineStr">
        <is>
          <t>자료의 최신성을 확인해야 하는 이유로 가장 알맞은 것은?</t>
        </is>
      </c>
      <c r="O147" s="6" t="inlineStr">
        <is>
          <t>정보가 바뀌었을 수 있어서</t>
        </is>
      </c>
      <c r="P147" s="6" t="inlineStr">
        <is>
          <t>오래된 자료가 더 예뻐서</t>
        </is>
      </c>
      <c r="Q147" s="6" t="inlineStr">
        <is>
          <t>최신 자료는 짧아서</t>
        </is>
      </c>
      <c r="R147" s="6" t="inlineStr">
        <is>
          <t>날짜는 상관없어서</t>
        </is>
      </c>
      <c r="S147" s="7" t="n">
        <v>1</v>
      </c>
      <c r="T147" s="6" t="inlineStr">
        <is>
          <t>정보가 바뀌었을 수 있어서</t>
        </is>
      </c>
      <c r="U147" s="7" t="inlineStr">
        <is>
          <t>정보 신뢰성 기초 판단</t>
        </is>
      </c>
      <c r="V147" s="6" t="inlineStr">
        <is>
          <t>고2 1번 문항풀의 정보 신뢰성 영역 진단 문항입니다. 학생이 온라인 정보의 출처와 신뢰도를 판단하는지를 확인하는 데 활용합니다.</t>
        </is>
      </c>
      <c r="W147" s="7" t="inlineStr">
        <is>
          <t>4-1-2-3-4-1-2-3-4-1</t>
        </is>
      </c>
    </row>
    <row r="148">
      <c r="A148" s="2" t="inlineStr">
        <is>
          <t>H2-P1-07</t>
        </is>
      </c>
      <c r="B148" s="2" t="inlineStr">
        <is>
          <t>고등</t>
        </is>
      </c>
      <c r="C148" s="2" t="inlineStr">
        <is>
          <t>고2</t>
        </is>
      </c>
      <c r="D148" s="2" t="n">
        <v>1</v>
      </c>
      <c r="E148" s="2" t="n">
        <v>1</v>
      </c>
      <c r="F148" s="3" t="inlineStr">
        <is>
          <t>1번 문항풀(디지털 기초소양)</t>
        </is>
      </c>
      <c r="G148" s="2" t="n">
        <v>7</v>
      </c>
      <c r="H148" s="2" t="inlineStr">
        <is>
          <t>SAFE</t>
        </is>
      </c>
      <c r="I148" s="3" t="inlineStr">
        <is>
          <t>디지털 안전</t>
        </is>
      </c>
      <c r="J148" s="4" t="inlineStr">
        <is>
          <t>A</t>
        </is>
      </c>
      <c r="K148" s="2" t="inlineStr">
        <is>
          <t>N</t>
        </is>
      </c>
      <c r="L148" s="2" t="inlineStr"/>
      <c r="M148" s="2" t="inlineStr"/>
      <c r="N148" s="6" t="inlineStr">
        <is>
          <t>개인정보를 요구하는 이벤트 페이지를 봤을 때 가장 바람직한 태도는?</t>
        </is>
      </c>
      <c r="O148" s="6" t="inlineStr">
        <is>
          <t>경품이 크면 입력한다</t>
        </is>
      </c>
      <c r="P148" s="6" t="inlineStr">
        <is>
          <t>운영 주체와 필요 정보를 확인한다</t>
        </is>
      </c>
      <c r="Q148" s="6" t="inlineStr">
        <is>
          <t>친구 정보를 먼저 넣어 본다</t>
        </is>
      </c>
      <c r="R148" s="6" t="inlineStr">
        <is>
          <t>무조건 인증부터 한다</t>
        </is>
      </c>
      <c r="S148" s="7" t="n">
        <v>2</v>
      </c>
      <c r="T148" s="6" t="inlineStr">
        <is>
          <t>운영 주체와 필요 정보를 확인한다</t>
        </is>
      </c>
      <c r="U148" s="7" t="inlineStr">
        <is>
          <t>디지털 안전 기초 판단</t>
        </is>
      </c>
      <c r="V148" s="6" t="inlineStr">
        <is>
          <t>고2 1번 문항풀의 디지털 안전 영역 진단 문항입니다. 학생이 의심스러운 상황을 인식하고 안전하게 대처하는지를 확인하는 데 활용합니다.</t>
        </is>
      </c>
      <c r="W148" s="7" t="inlineStr">
        <is>
          <t>4-1-2-3-4-1-2-3-4-1</t>
        </is>
      </c>
    </row>
    <row r="149">
      <c r="A149" s="2" t="inlineStr">
        <is>
          <t>H2-P1-08</t>
        </is>
      </c>
      <c r="B149" s="2" t="inlineStr">
        <is>
          <t>고등</t>
        </is>
      </c>
      <c r="C149" s="2" t="inlineStr">
        <is>
          <t>고2</t>
        </is>
      </c>
      <c r="D149" s="2" t="n">
        <v>1</v>
      </c>
      <c r="E149" s="2" t="n">
        <v>1</v>
      </c>
      <c r="F149" s="3" t="inlineStr">
        <is>
          <t>1번 문항풀(디지털 기초소양)</t>
        </is>
      </c>
      <c r="G149" s="2" t="n">
        <v>8</v>
      </c>
      <c r="H149" s="2" t="inlineStr">
        <is>
          <t>TRACE</t>
        </is>
      </c>
      <c r="I149" s="3" t="inlineStr">
        <is>
          <t>디지털 발자국</t>
        </is>
      </c>
      <c r="J149" s="8" t="inlineStr">
        <is>
          <t>B</t>
        </is>
      </c>
      <c r="K149" s="2" t="inlineStr">
        <is>
          <t>N</t>
        </is>
      </c>
      <c r="L149" s="2" t="inlineStr"/>
      <c r="M149" s="2" t="inlineStr"/>
      <c r="N149" s="6" t="inlineStr">
        <is>
          <t>온라인 평판 관리가 중요한 이유로 가장 알맞은 것은?</t>
        </is>
      </c>
      <c r="O149" s="6" t="inlineStr">
        <is>
          <t>모든 기록은 즉시 사라져서</t>
        </is>
      </c>
      <c r="P149" s="6" t="inlineStr">
        <is>
          <t>비공개 계정은 절대 유출되지 않아서</t>
        </is>
      </c>
      <c r="Q149" s="6" t="inlineStr">
        <is>
          <t>대학, 활동, 인간관계에 영향을 줄 수 있어서</t>
        </is>
      </c>
      <c r="R149" s="6" t="inlineStr">
        <is>
          <t>친구들만 보면 상관없어서</t>
        </is>
      </c>
      <c r="S149" s="7" t="n">
        <v>3</v>
      </c>
      <c r="T149" s="6" t="inlineStr">
        <is>
          <t>대학, 활동, 인간관계에 영향을 줄 수 있어서</t>
        </is>
      </c>
      <c r="U149" s="7" t="inlineStr">
        <is>
          <t>디지털 발자국 기초 판단</t>
        </is>
      </c>
      <c r="V149" s="6" t="inlineStr">
        <is>
          <t>고2 1번 문항풀의 디지털 발자국 영역 진단 문항입니다. 학생이 온라인 기록의 지속성과 영향력을 이해하는지를 확인하는 데 활용합니다.</t>
        </is>
      </c>
      <c r="W149" s="7" t="inlineStr">
        <is>
          <t>4-1-2-3-4-1-2-3-4-1</t>
        </is>
      </c>
    </row>
    <row r="150">
      <c r="A150" s="2" t="inlineStr">
        <is>
          <t>H2-P1-09</t>
        </is>
      </c>
      <c r="B150" s="2" t="inlineStr">
        <is>
          <t>고등</t>
        </is>
      </c>
      <c r="C150" s="2" t="inlineStr">
        <is>
          <t>고2</t>
        </is>
      </c>
      <c r="D150" s="2" t="n">
        <v>1</v>
      </c>
      <c r="E150" s="2" t="n">
        <v>1</v>
      </c>
      <c r="F150" s="3" t="inlineStr">
        <is>
          <t>1번 문항풀(디지털 기초소양)</t>
        </is>
      </c>
      <c r="G150" s="2" t="n">
        <v>9</v>
      </c>
      <c r="H150" s="2" t="inlineStr">
        <is>
          <t>ETHIC</t>
        </is>
      </c>
      <c r="I150" s="3" t="inlineStr">
        <is>
          <t>학습윤리</t>
        </is>
      </c>
      <c r="J150" s="11" t="inlineStr">
        <is>
          <t>C</t>
        </is>
      </c>
      <c r="K150" s="2" t="inlineStr">
        <is>
          <t>N</t>
        </is>
      </c>
      <c r="L150" s="2" t="inlineStr"/>
      <c r="M150" s="2" t="inlineStr"/>
      <c r="N150" s="6" t="inlineStr">
        <is>
          <t>공동 과제에서 무임승차가 문제인 이유로 가장 알맞은 것은?</t>
        </is>
      </c>
      <c r="O150" s="6" t="inlineStr">
        <is>
          <t>문서 형식이 달라져서</t>
        </is>
      </c>
      <c r="P150" s="6" t="inlineStr">
        <is>
          <t>인터넷이 느려져서</t>
        </is>
      </c>
      <c r="Q150" s="6" t="inlineStr">
        <is>
          <t>발표 시간이 줄어서</t>
        </is>
      </c>
      <c r="R150" s="6" t="inlineStr">
        <is>
          <t>공정한 평가와 협업 신뢰를 해치기 때문에</t>
        </is>
      </c>
      <c r="S150" s="7" t="n">
        <v>4</v>
      </c>
      <c r="T150" s="6" t="inlineStr">
        <is>
          <t>공정한 평가와 협업 신뢰를 해치기 때문에</t>
        </is>
      </c>
      <c r="U150" s="7" t="inlineStr">
        <is>
          <t>학습윤리 기초 판단</t>
        </is>
      </c>
      <c r="V150" s="6" t="inlineStr">
        <is>
          <t>고2 1번 문항풀의 학습윤리 영역 진단 문항입니다. 학생이 과제 수행에서 정직성과 자기 사고의 중요성을 이해하는지를 확인하는 데 활용합니다.</t>
        </is>
      </c>
      <c r="W150" s="7" t="inlineStr">
        <is>
          <t>4-1-2-3-4-1-2-3-4-1</t>
        </is>
      </c>
    </row>
    <row r="151">
      <c r="A151" s="2" t="inlineStr">
        <is>
          <t>H2-P1-10</t>
        </is>
      </c>
      <c r="B151" s="2" t="inlineStr">
        <is>
          <t>고등</t>
        </is>
      </c>
      <c r="C151" s="2" t="inlineStr">
        <is>
          <t>고2</t>
        </is>
      </c>
      <c r="D151" s="2" t="n">
        <v>1</v>
      </c>
      <c r="E151" s="2" t="n">
        <v>1</v>
      </c>
      <c r="F151" s="3" t="inlineStr">
        <is>
          <t>1번 문항풀(디지털 기초소양)</t>
        </is>
      </c>
      <c r="G151" s="2" t="n">
        <v>10</v>
      </c>
      <c r="H151" s="2" t="inlineStr">
        <is>
          <t>RESP</t>
        </is>
      </c>
      <c r="I151" s="3" t="inlineStr">
        <is>
          <t>책임감</t>
        </is>
      </c>
      <c r="J151" s="8" t="inlineStr">
        <is>
          <t>B</t>
        </is>
      </c>
      <c r="K151" s="2" t="inlineStr">
        <is>
          <t>N</t>
        </is>
      </c>
      <c r="L151" s="2" t="inlineStr"/>
      <c r="M151" s="2" t="inlineStr"/>
      <c r="N151" s="6" t="inlineStr">
        <is>
          <t>팀 프로젝트용 디지털 공간을 사용할 때 바람직한 태도는?</t>
        </is>
      </c>
      <c r="O151" s="6" t="inlineStr">
        <is>
          <t>수정 전후를 기록하고 팀과 공유한다</t>
        </is>
      </c>
      <c r="P151" s="6" t="inlineStr">
        <is>
          <t>중요 파일을 임의로 삭제한다</t>
        </is>
      </c>
      <c r="Q151" s="6" t="inlineStr">
        <is>
          <t>내 일정만 중요하다고 생각한다</t>
        </is>
      </c>
      <c r="R151" s="6" t="inlineStr">
        <is>
          <t>급하면 출처 없이 넣는다</t>
        </is>
      </c>
      <c r="S151" s="7" t="n">
        <v>1</v>
      </c>
      <c r="T151" s="6" t="inlineStr">
        <is>
          <t>수정 전후를 기록하고 팀과 공유한다</t>
        </is>
      </c>
      <c r="U151" s="7" t="inlineStr">
        <is>
          <t>책임감 기초 판단</t>
        </is>
      </c>
      <c r="V151" s="6" t="inlineStr">
        <is>
          <t>고2 1번 문항풀의 책임감 영역 진단 문항입니다. 학생이 학교·공동 환경에서 디지털 규칙을 지키는지를 확인하는 데 활용합니다.</t>
        </is>
      </c>
      <c r="W151" s="7" t="inlineStr">
        <is>
          <t>4-1-2-3-4-1-2-3-4-1</t>
        </is>
      </c>
    </row>
    <row r="152">
      <c r="A152" s="9" t="inlineStr">
        <is>
          <t>H2-P2-01</t>
        </is>
      </c>
      <c r="B152" s="9" t="inlineStr">
        <is>
          <t>고등</t>
        </is>
      </c>
      <c r="C152" s="9" t="inlineStr">
        <is>
          <t>고2</t>
        </is>
      </c>
      <c r="D152" s="9" t="n">
        <v>2</v>
      </c>
      <c r="E152" s="9" t="n">
        <v>2</v>
      </c>
      <c r="F152" s="10" t="inlineStr">
        <is>
          <t>2번 문항풀(AI 활용 기초)</t>
        </is>
      </c>
      <c r="G152" s="9" t="n">
        <v>1</v>
      </c>
      <c r="H152" s="9" t="inlineStr">
        <is>
          <t>AIU</t>
        </is>
      </c>
      <c r="I152" s="10" t="inlineStr">
        <is>
          <t>AI 이해</t>
        </is>
      </c>
      <c r="J152" s="4" t="inlineStr">
        <is>
          <t>A</t>
        </is>
      </c>
      <c r="K152" s="5" t="inlineStr">
        <is>
          <t>Y</t>
        </is>
      </c>
      <c r="L152" s="5" t="inlineStr">
        <is>
          <t>고2-P2-A1</t>
        </is>
      </c>
      <c r="M152" s="5" t="inlineStr">
        <is>
          <t>기초 기준문항</t>
        </is>
      </c>
      <c r="N152" s="6" t="inlineStr">
        <is>
          <t>생성형 AI 결과가 확률적이라는 말의 의미로 가장 알맞은 것은?</t>
        </is>
      </c>
      <c r="O152" s="6" t="inlineStr">
        <is>
          <t>항상 한 가지 정답만 낸다</t>
        </is>
      </c>
      <c r="P152" s="6" t="inlineStr">
        <is>
          <t>입력과 상황에 따라 다른 결과가 나올 수 있다</t>
        </is>
      </c>
      <c r="Q152" s="6" t="inlineStr">
        <is>
          <t>기기가 비싸면 정답이 된다</t>
        </is>
      </c>
      <c r="R152" s="6" t="inlineStr">
        <is>
          <t>AI는 생각이 없다는 뜻이다</t>
        </is>
      </c>
      <c r="S152" s="7" t="n">
        <v>2</v>
      </c>
      <c r="T152" s="6" t="inlineStr">
        <is>
          <t>입력과 상황에 따라 다른 결과가 나올 수 있다</t>
        </is>
      </c>
      <c r="U152" s="7" t="inlineStr">
        <is>
          <t>AI 이해 기초 판단</t>
        </is>
      </c>
      <c r="V152" s="6" t="inlineStr">
        <is>
          <t>고2 2번 문항풀의 AI 이해 영역 진단 문항입니다. 학생이 AI의 기본 원리와 한계를 구분하는지를 확인하는 데 활용합니다.</t>
        </is>
      </c>
      <c r="W152" s="7" t="inlineStr">
        <is>
          <t>2-4-3-1-2-4-3-1-2-4</t>
        </is>
      </c>
    </row>
    <row r="153">
      <c r="A153" s="9" t="inlineStr">
        <is>
          <t>H2-P2-02</t>
        </is>
      </c>
      <c r="B153" s="9" t="inlineStr">
        <is>
          <t>고등</t>
        </is>
      </c>
      <c r="C153" s="9" t="inlineStr">
        <is>
          <t>고2</t>
        </is>
      </c>
      <c r="D153" s="9" t="n">
        <v>2</v>
      </c>
      <c r="E153" s="9" t="n">
        <v>2</v>
      </c>
      <c r="F153" s="10" t="inlineStr">
        <is>
          <t>2번 문항풀(AI 활용 기초)</t>
        </is>
      </c>
      <c r="G153" s="9" t="n">
        <v>2</v>
      </c>
      <c r="H153" s="9" t="inlineStr">
        <is>
          <t>AIU</t>
        </is>
      </c>
      <c r="I153" s="10" t="inlineStr">
        <is>
          <t>AI 이해</t>
        </is>
      </c>
      <c r="J153" s="4" t="inlineStr">
        <is>
          <t>A</t>
        </is>
      </c>
      <c r="K153" s="9" t="inlineStr">
        <is>
          <t>N</t>
        </is>
      </c>
      <c r="L153" s="9" t="inlineStr"/>
      <c r="M153" s="9" t="inlineStr"/>
      <c r="N153" s="6" t="inlineStr">
        <is>
          <t>AI 결과에 편향이 생길 수 있는 이유로 가장 알맞은 것은?</t>
        </is>
      </c>
      <c r="O153" s="6" t="inlineStr">
        <is>
          <t>기기 색상이 달라서</t>
        </is>
      </c>
      <c r="P153" s="6" t="inlineStr">
        <is>
          <t>사용 시간이 짧아서</t>
        </is>
      </c>
      <c r="Q153" s="6" t="inlineStr">
        <is>
          <t>문장이 길어서</t>
        </is>
      </c>
      <c r="R153" s="6" t="inlineStr">
        <is>
          <t>데이터와 학습 과정이 한쪽으로 치우칠 수 있어서</t>
        </is>
      </c>
      <c r="S153" s="7" t="n">
        <v>4</v>
      </c>
      <c r="T153" s="6" t="inlineStr">
        <is>
          <t>데이터와 학습 과정이 한쪽으로 치우칠 수 있어서</t>
        </is>
      </c>
      <c r="U153" s="7" t="inlineStr">
        <is>
          <t>AI 이해 기초 판단</t>
        </is>
      </c>
      <c r="V153" s="6" t="inlineStr">
        <is>
          <t>고2 2번 문항풀의 AI 이해 영역 진단 문항입니다. 학생이 AI의 기본 원리와 한계를 구분하는지를 확인하는 데 활용합니다.</t>
        </is>
      </c>
      <c r="W153" s="7" t="inlineStr">
        <is>
          <t>2-4-3-1-2-4-3-1-2-4</t>
        </is>
      </c>
    </row>
    <row r="154">
      <c r="A154" s="9" t="inlineStr">
        <is>
          <t>H2-P2-03</t>
        </is>
      </c>
      <c r="B154" s="9" t="inlineStr">
        <is>
          <t>고등</t>
        </is>
      </c>
      <c r="C154" s="9" t="inlineStr">
        <is>
          <t>고2</t>
        </is>
      </c>
      <c r="D154" s="9" t="n">
        <v>2</v>
      </c>
      <c r="E154" s="9" t="n">
        <v>2</v>
      </c>
      <c r="F154" s="10" t="inlineStr">
        <is>
          <t>2번 문항풀(AI 활용 기초)</t>
        </is>
      </c>
      <c r="G154" s="9" t="n">
        <v>3</v>
      </c>
      <c r="H154" s="9" t="inlineStr">
        <is>
          <t>AIA</t>
        </is>
      </c>
      <c r="I154" s="10" t="inlineStr">
        <is>
          <t>AI 활용 태도</t>
        </is>
      </c>
      <c r="J154" s="8" t="inlineStr">
        <is>
          <t>B</t>
        </is>
      </c>
      <c r="K154" s="9" t="inlineStr">
        <is>
          <t>N</t>
        </is>
      </c>
      <c r="L154" s="9" t="inlineStr"/>
      <c r="M154" s="9" t="inlineStr"/>
      <c r="N154" s="6" t="inlineStr">
        <is>
          <t>탐구활동에 AI를 활용할 때 가장 바람직한 태도는?</t>
        </is>
      </c>
      <c r="O154" s="6" t="inlineStr">
        <is>
          <t>그대로 제출한다</t>
        </is>
      </c>
      <c r="P154" s="6" t="inlineStr">
        <is>
          <t>모든 판단을 AI에 맡긴다</t>
        </is>
      </c>
      <c r="Q154" s="6" t="inlineStr">
        <is>
          <t>초안을 받은 뒤 근거를 확인하고 재구성한다</t>
        </is>
      </c>
      <c r="R154" s="6" t="inlineStr">
        <is>
          <t>출처를 확인하지 않는다</t>
        </is>
      </c>
      <c r="S154" s="7" t="n">
        <v>3</v>
      </c>
      <c r="T154" s="6" t="inlineStr">
        <is>
          <t>초안을 받은 뒤 근거를 확인하고 재구성한다</t>
        </is>
      </c>
      <c r="U154" s="7" t="inlineStr">
        <is>
          <t>AI 활용 태도 기초 판단</t>
        </is>
      </c>
      <c r="V154" s="6" t="inlineStr">
        <is>
          <t>고2 2번 문항풀의 AI 활용 태도 영역 진단 문항입니다. 학생이 AI를 무비판적으로 사용하지 않고 검토하려는지를 확인하는 데 활용합니다.</t>
        </is>
      </c>
      <c r="W154" s="7" t="inlineStr">
        <is>
          <t>2-4-3-1-2-4-3-1-2-4</t>
        </is>
      </c>
    </row>
    <row r="155">
      <c r="A155" s="9" t="inlineStr">
        <is>
          <t>H2-P2-04</t>
        </is>
      </c>
      <c r="B155" s="9" t="inlineStr">
        <is>
          <t>고등</t>
        </is>
      </c>
      <c r="C155" s="9" t="inlineStr">
        <is>
          <t>고2</t>
        </is>
      </c>
      <c r="D155" s="9" t="n">
        <v>2</v>
      </c>
      <c r="E155" s="9" t="n">
        <v>2</v>
      </c>
      <c r="F155" s="10" t="inlineStr">
        <is>
          <t>2번 문항풀(AI 활용 기초)</t>
        </is>
      </c>
      <c r="G155" s="9" t="n">
        <v>4</v>
      </c>
      <c r="H155" s="9" t="inlineStr">
        <is>
          <t>DPS</t>
        </is>
      </c>
      <c r="I155" s="10" t="inlineStr">
        <is>
          <t>문제해결</t>
        </is>
      </c>
      <c r="J155" s="8" t="inlineStr">
        <is>
          <t>B</t>
        </is>
      </c>
      <c r="K155" s="9" t="inlineStr">
        <is>
          <t>N</t>
        </is>
      </c>
      <c r="L155" s="9" t="inlineStr"/>
      <c r="M155" s="9" t="inlineStr"/>
      <c r="N155" s="6" t="inlineStr">
        <is>
          <t>복잡한 과제를 디지털 도구로 해결할 때 적절한 방법은?</t>
        </is>
      </c>
      <c r="O155" s="6" t="inlineStr">
        <is>
          <t>세부 과업으로 나누고 필요한 도구를 선택한다</t>
        </is>
      </c>
      <c r="P155" s="6" t="inlineStr">
        <is>
          <t>한 번에 완성하려다 안 되면 포기한다</t>
        </is>
      </c>
      <c r="Q155" s="6" t="inlineStr">
        <is>
          <t>친구에게 전부 맡긴다</t>
        </is>
      </c>
      <c r="R155" s="6" t="inlineStr">
        <is>
          <t>결과만 나오면 검토하지 않는다</t>
        </is>
      </c>
      <c r="S155" s="7" t="n">
        <v>1</v>
      </c>
      <c r="T155" s="6" t="inlineStr">
        <is>
          <t>세부 과업으로 나누고 필요한 도구를 선택한다</t>
        </is>
      </c>
      <c r="U155" s="7" t="inlineStr">
        <is>
          <t>문제해결 기초 판단</t>
        </is>
      </c>
      <c r="V155" s="6" t="inlineStr">
        <is>
          <t>고2 2번 문항풀의 문제해결 영역 진단 문항입니다. 학생이 디지털 문제를 단계적으로 해결하려는지를 확인하는 데 활용합니다.</t>
        </is>
      </c>
      <c r="W155" s="7" t="inlineStr">
        <is>
          <t>2-4-3-1-2-4-3-1-2-4</t>
        </is>
      </c>
    </row>
    <row r="156">
      <c r="A156" s="9" t="inlineStr">
        <is>
          <t>H2-P2-05</t>
        </is>
      </c>
      <c r="B156" s="9" t="inlineStr">
        <is>
          <t>고등</t>
        </is>
      </c>
      <c r="C156" s="9" t="inlineStr">
        <is>
          <t>고2</t>
        </is>
      </c>
      <c r="D156" s="9" t="n">
        <v>2</v>
      </c>
      <c r="E156" s="9" t="n">
        <v>2</v>
      </c>
      <c r="F156" s="10" t="inlineStr">
        <is>
          <t>2번 문항풀(AI 활용 기초)</t>
        </is>
      </c>
      <c r="G156" s="9" t="n">
        <v>5</v>
      </c>
      <c r="H156" s="9" t="inlineStr">
        <is>
          <t>AIC</t>
        </is>
      </c>
      <c r="I156" s="10" t="inlineStr">
        <is>
          <t>결과 검토</t>
        </is>
      </c>
      <c r="J156" s="11" t="inlineStr">
        <is>
          <t>C</t>
        </is>
      </c>
      <c r="K156" s="5" t="inlineStr">
        <is>
          <t>Y</t>
        </is>
      </c>
      <c r="L156" s="5" t="inlineStr">
        <is>
          <t>고2-P2-A2</t>
        </is>
      </c>
      <c r="M156" s="5" t="inlineStr">
        <is>
          <t>비판적 판단 기준문항</t>
        </is>
      </c>
      <c r="N156" s="6" t="inlineStr">
        <is>
          <t>AI가 제시한 근거가 약해 보일 때 가장 적절한 행동은?</t>
        </is>
      </c>
      <c r="O156" s="6" t="inlineStr">
        <is>
          <t>문장이 자연스러우니 사용한다</t>
        </is>
      </c>
      <c r="P156" s="6" t="inlineStr">
        <is>
          <t>공식 자료나 신뢰할 수 있는 출처로 검토한다</t>
        </is>
      </c>
      <c r="Q156" s="6" t="inlineStr">
        <is>
          <t>친구 감으로 판단한다</t>
        </is>
      </c>
      <c r="R156" s="6" t="inlineStr">
        <is>
          <t>길이가 길면 믿는다</t>
        </is>
      </c>
      <c r="S156" s="7" t="n">
        <v>2</v>
      </c>
      <c r="T156" s="6" t="inlineStr">
        <is>
          <t>공식 자료나 신뢰할 수 있는 출처로 검토한다</t>
        </is>
      </c>
      <c r="U156" s="7" t="inlineStr">
        <is>
          <t>결과 검토 기초 판단</t>
        </is>
      </c>
      <c r="V156" s="6" t="inlineStr">
        <is>
          <t>고2 2번 문항풀의 결과 검토 영역 진단 문항입니다. 학생이 AI·디지털 결과물을 근거 중심으로 다시 확인하는지를 확인하는 데 활용합니다.</t>
        </is>
      </c>
      <c r="W156" s="7" t="inlineStr">
        <is>
          <t>2-4-3-1-2-4-3-1-2-4</t>
        </is>
      </c>
    </row>
    <row r="157">
      <c r="A157" s="9" t="inlineStr">
        <is>
          <t>H2-P2-06</t>
        </is>
      </c>
      <c r="B157" s="9" t="inlineStr">
        <is>
          <t>고등</t>
        </is>
      </c>
      <c r="C157" s="9" t="inlineStr">
        <is>
          <t>고2</t>
        </is>
      </c>
      <c r="D157" s="9" t="n">
        <v>2</v>
      </c>
      <c r="E157" s="9" t="n">
        <v>2</v>
      </c>
      <c r="F157" s="10" t="inlineStr">
        <is>
          <t>2번 문항풀(AI 활용 기초)</t>
        </is>
      </c>
      <c r="G157" s="9" t="n">
        <v>6</v>
      </c>
      <c r="H157" s="9" t="inlineStr">
        <is>
          <t>AIE</t>
        </is>
      </c>
      <c r="I157" s="10" t="inlineStr">
        <is>
          <t>책임 있는 활용</t>
        </is>
      </c>
      <c r="J157" s="11" t="inlineStr">
        <is>
          <t>C</t>
        </is>
      </c>
      <c r="K157" s="9" t="inlineStr">
        <is>
          <t>N</t>
        </is>
      </c>
      <c r="L157" s="9" t="inlineStr"/>
      <c r="M157" s="9" t="inlineStr"/>
      <c r="N157" s="6" t="inlineStr">
        <is>
          <t>조작 이미지나 허위 생성물을 사용하는 것이 왜 문제인가?</t>
        </is>
      </c>
      <c r="O157" s="6" t="inlineStr">
        <is>
          <t>파일이 무거워져서</t>
        </is>
      </c>
      <c r="P157" s="6" t="inlineStr">
        <is>
          <t>색감이 이상해서</t>
        </is>
      </c>
      <c r="Q157" s="6" t="inlineStr">
        <is>
          <t>용량이 커져서</t>
        </is>
      </c>
      <c r="R157" s="6" t="inlineStr">
        <is>
          <t>사람과 정보를 왜곡해 피해를 줄 수 있어서</t>
        </is>
      </c>
      <c r="S157" s="7" t="n">
        <v>4</v>
      </c>
      <c r="T157" s="6" t="inlineStr">
        <is>
          <t>사람과 정보를 왜곡해 피해를 줄 수 있어서</t>
        </is>
      </c>
      <c r="U157" s="7" t="inlineStr">
        <is>
          <t>책임 있는 활용 기초 판단</t>
        </is>
      </c>
      <c r="V157" s="6" t="inlineStr">
        <is>
          <t>고2 2번 문항풀의 책임 있는 활용 영역 진단 문항입니다. 학생이 AI·디지털 도구를 타인에게 해를 주지 않게 사용하는지를 확인하는 데 활용합니다.</t>
        </is>
      </c>
      <c r="W157" s="7" t="inlineStr">
        <is>
          <t>2-4-3-1-2-4-3-1-2-4</t>
        </is>
      </c>
    </row>
    <row r="158">
      <c r="A158" s="9" t="inlineStr">
        <is>
          <t>H2-P2-07</t>
        </is>
      </c>
      <c r="B158" s="9" t="inlineStr">
        <is>
          <t>고등</t>
        </is>
      </c>
      <c r="C158" s="9" t="inlineStr">
        <is>
          <t>고2</t>
        </is>
      </c>
      <c r="D158" s="9" t="n">
        <v>2</v>
      </c>
      <c r="E158" s="9" t="n">
        <v>2</v>
      </c>
      <c r="F158" s="10" t="inlineStr">
        <is>
          <t>2번 문항풀(AI 활용 기초)</t>
        </is>
      </c>
      <c r="G158" s="9" t="n">
        <v>7</v>
      </c>
      <c r="H158" s="9" t="inlineStr">
        <is>
          <t>COL</t>
        </is>
      </c>
      <c r="I158" s="10" t="inlineStr">
        <is>
          <t>협업 태도</t>
        </is>
      </c>
      <c r="J158" s="4" t="inlineStr">
        <is>
          <t>A</t>
        </is>
      </c>
      <c r="K158" s="9" t="inlineStr">
        <is>
          <t>N</t>
        </is>
      </c>
      <c r="L158" s="9" t="inlineStr"/>
      <c r="M158" s="9" t="inlineStr"/>
      <c r="N158" s="6" t="inlineStr">
        <is>
          <t>공동 문서 작업에서 바람직한 태도로 가장 알맞은 것은?</t>
        </is>
      </c>
      <c r="O158" s="6" t="inlineStr">
        <is>
          <t>다른 사람 수정 내역을 숨긴다</t>
        </is>
      </c>
      <c r="P158" s="6" t="inlineStr">
        <is>
          <t>마감 직전에만 들어간다</t>
        </is>
      </c>
      <c r="Q158" s="6" t="inlineStr">
        <is>
          <t>기여 내용을 분명히 하고 서로 피드백한다</t>
        </is>
      </c>
      <c r="R158" s="6" t="inlineStr">
        <is>
          <t>한 명의 의견만 따른다</t>
        </is>
      </c>
      <c r="S158" s="7" t="n">
        <v>3</v>
      </c>
      <c r="T158" s="6" t="inlineStr">
        <is>
          <t>기여 내용을 분명히 하고 서로 피드백한다</t>
        </is>
      </c>
      <c r="U158" s="7" t="inlineStr">
        <is>
          <t>협업 태도 기초 판단</t>
        </is>
      </c>
      <c r="V158" s="6" t="inlineStr">
        <is>
          <t>고2 2번 문항풀의 협업 태도 영역 진단 문항입니다. 학생이 디지털 환경에서 역할을 나누고 협력하는지를 확인하는 데 활용합니다.</t>
        </is>
      </c>
      <c r="W158" s="7" t="inlineStr">
        <is>
          <t>2-4-3-1-2-4-3-1-2-4</t>
        </is>
      </c>
    </row>
    <row r="159">
      <c r="A159" s="9" t="inlineStr">
        <is>
          <t>H2-P2-08</t>
        </is>
      </c>
      <c r="B159" s="9" t="inlineStr">
        <is>
          <t>고등</t>
        </is>
      </c>
      <c r="C159" s="9" t="inlineStr">
        <is>
          <t>고2</t>
        </is>
      </c>
      <c r="D159" s="9" t="n">
        <v>2</v>
      </c>
      <c r="E159" s="9" t="n">
        <v>2</v>
      </c>
      <c r="F159" s="10" t="inlineStr">
        <is>
          <t>2번 문항풀(AI 활용 기초)</t>
        </is>
      </c>
      <c r="G159" s="9" t="n">
        <v>8</v>
      </c>
      <c r="H159" s="9" t="inlineStr">
        <is>
          <t>SELF</t>
        </is>
      </c>
      <c r="I159" s="10" t="inlineStr">
        <is>
          <t>자기주도성</t>
        </is>
      </c>
      <c r="J159" s="8" t="inlineStr">
        <is>
          <t>B</t>
        </is>
      </c>
      <c r="K159" s="9" t="inlineStr">
        <is>
          <t>N</t>
        </is>
      </c>
      <c r="L159" s="9" t="inlineStr"/>
      <c r="M159" s="9" t="inlineStr"/>
      <c r="N159" s="6" t="inlineStr">
        <is>
          <t>필요한 디지털 도구를 스스로 배우는 태도로 가장 알맞은 것은?</t>
        </is>
      </c>
      <c r="O159" s="6" t="inlineStr">
        <is>
          <t>목적에 맞는 도구를 탐색하고 사용해 본다</t>
        </is>
      </c>
      <c r="P159" s="6" t="inlineStr">
        <is>
          <t>익숙한 것만 계속 쓴다</t>
        </is>
      </c>
      <c r="Q159" s="6" t="inlineStr">
        <is>
          <t>친구가 시키는 것만 한다</t>
        </is>
      </c>
      <c r="R159" s="6" t="inlineStr">
        <is>
          <t>새로운 도구는 무조건 어렵다고 본다</t>
        </is>
      </c>
      <c r="S159" s="7" t="n">
        <v>1</v>
      </c>
      <c r="T159" s="6" t="inlineStr">
        <is>
          <t>목적에 맞는 도구를 탐색하고 사용해 본다</t>
        </is>
      </c>
      <c r="U159" s="7" t="inlineStr">
        <is>
          <t>자기주도성 기초 판단</t>
        </is>
      </c>
      <c r="V159" s="6" t="inlineStr">
        <is>
          <t>고2 2번 문항풀의 자기주도성 영역 진단 문항입니다. 학생이 새로운 디지털 도구를 스스로 시도하고 학습하려는지를 확인하는 데 활용합니다.</t>
        </is>
      </c>
      <c r="W159" s="7" t="inlineStr">
        <is>
          <t>2-4-3-1-2-4-3-1-2-4</t>
        </is>
      </c>
    </row>
    <row r="160">
      <c r="A160" s="9" t="inlineStr">
        <is>
          <t>H2-P2-09</t>
        </is>
      </c>
      <c r="B160" s="9" t="inlineStr">
        <is>
          <t>고등</t>
        </is>
      </c>
      <c r="C160" s="9" t="inlineStr">
        <is>
          <t>고2</t>
        </is>
      </c>
      <c r="D160" s="9" t="n">
        <v>2</v>
      </c>
      <c r="E160" s="9" t="n">
        <v>2</v>
      </c>
      <c r="F160" s="10" t="inlineStr">
        <is>
          <t>2번 문항풀(AI 활용 기초)</t>
        </is>
      </c>
      <c r="G160" s="9" t="n">
        <v>9</v>
      </c>
      <c r="H160" s="9" t="inlineStr">
        <is>
          <t>DATA</t>
        </is>
      </c>
      <c r="I160" s="10" t="inlineStr">
        <is>
          <t>데이터 이해</t>
        </is>
      </c>
      <c r="J160" s="11" t="inlineStr">
        <is>
          <t>C</t>
        </is>
      </c>
      <c r="K160" s="9" t="inlineStr">
        <is>
          <t>N</t>
        </is>
      </c>
      <c r="L160" s="9" t="inlineStr"/>
      <c r="M160" s="9" t="inlineStr"/>
      <c r="N160" s="6" t="inlineStr">
        <is>
          <t>데이터 품질이 중요한 이유로 가장 알맞은 것은?</t>
        </is>
      </c>
      <c r="O160" s="6" t="inlineStr">
        <is>
          <t>화면 디자인을 결정해서</t>
        </is>
      </c>
      <c r="P160" s="6" t="inlineStr">
        <is>
          <t>결과의 신뢰성과 해석에 영향을 주기 때문에</t>
        </is>
      </c>
      <c r="Q160" s="6" t="inlineStr">
        <is>
          <t>파일 이름이 바뀌어서</t>
        </is>
      </c>
      <c r="R160" s="6" t="inlineStr">
        <is>
          <t>기기 발열이 줄어서</t>
        </is>
      </c>
      <c r="S160" s="7" t="n">
        <v>2</v>
      </c>
      <c r="T160" s="6" t="inlineStr">
        <is>
          <t>결과의 신뢰성과 해석에 영향을 주기 때문에</t>
        </is>
      </c>
      <c r="U160" s="7" t="inlineStr">
        <is>
          <t>데이터 이해 기초 판단</t>
        </is>
      </c>
      <c r="V160" s="6" t="inlineStr">
        <is>
          <t>고2 2번 문항풀의 데이터 이해 영역 진단 문항입니다. 학생이 데이터가 결과에 영향을 준다는 점을 이해하는지를 확인하는 데 활용합니다.</t>
        </is>
      </c>
      <c r="W160" s="7" t="inlineStr">
        <is>
          <t>2-4-3-1-2-4-3-1-2-4</t>
        </is>
      </c>
    </row>
    <row r="161">
      <c r="A161" s="9" t="inlineStr">
        <is>
          <t>H2-P2-10</t>
        </is>
      </c>
      <c r="B161" s="9" t="inlineStr">
        <is>
          <t>고등</t>
        </is>
      </c>
      <c r="C161" s="9" t="inlineStr">
        <is>
          <t>고2</t>
        </is>
      </c>
      <c r="D161" s="9" t="n">
        <v>2</v>
      </c>
      <c r="E161" s="9" t="n">
        <v>2</v>
      </c>
      <c r="F161" s="10" t="inlineStr">
        <is>
          <t>2번 문항풀(AI 활용 기초)</t>
        </is>
      </c>
      <c r="G161" s="9" t="n">
        <v>10</v>
      </c>
      <c r="H161" s="9" t="inlineStr">
        <is>
          <t>CARE</t>
        </is>
      </c>
      <c r="I161" s="10" t="inlineStr">
        <is>
          <t>진로 인식</t>
        </is>
      </c>
      <c r="J161" s="8" t="inlineStr">
        <is>
          <t>B</t>
        </is>
      </c>
      <c r="K161" s="9" t="inlineStr">
        <is>
          <t>N</t>
        </is>
      </c>
      <c r="L161" s="9" t="inlineStr"/>
      <c r="M161" s="9" t="inlineStr"/>
      <c r="N161" s="6" t="inlineStr">
        <is>
          <t>전공·직업 탐색에서 AI·데이터 역량이 중요한 이유로 가장 알맞은 것은?</t>
        </is>
      </c>
      <c r="O161" s="6" t="inlineStr">
        <is>
          <t>일부 공학 분야만 쓰여서</t>
        </is>
      </c>
      <c r="P161" s="6" t="inlineStr">
        <is>
          <t>대학 입시와 무관해서</t>
        </is>
      </c>
      <c r="Q161" s="6" t="inlineStr">
        <is>
          <t>현실보다 게임에 더 중요해서</t>
        </is>
      </c>
      <c r="R161" s="6" t="inlineStr">
        <is>
          <t>다양한 분야의 분석, 소통, 문제해결에 연결되기 때문에</t>
        </is>
      </c>
      <c r="S161" s="7" t="n">
        <v>4</v>
      </c>
      <c r="T161" s="6" t="inlineStr">
        <is>
          <t>다양한 분야의 분석, 소통, 문제해결에 연결되기 때문에</t>
        </is>
      </c>
      <c r="U161" s="7" t="inlineStr">
        <is>
          <t>진로 인식 기초 판단</t>
        </is>
      </c>
      <c r="V161" s="6" t="inlineStr">
        <is>
          <t>고2 2번 문항풀의 진로 인식 영역 진단 문항입니다. 학생이 디지털 역량과 진로의 연결성을 인식하는지를 확인하는 데 활용합니다.</t>
        </is>
      </c>
      <c r="W161" s="7" t="inlineStr">
        <is>
          <t>2-4-3-1-2-4-3-1-2-4</t>
        </is>
      </c>
    </row>
    <row r="162">
      <c r="A162" s="2" t="inlineStr">
        <is>
          <t>H3-P1-01</t>
        </is>
      </c>
      <c r="B162" s="2" t="inlineStr">
        <is>
          <t>고등</t>
        </is>
      </c>
      <c r="C162" s="2" t="inlineStr">
        <is>
          <t>고3</t>
        </is>
      </c>
      <c r="D162" s="2" t="n">
        <v>1</v>
      </c>
      <c r="E162" s="2" t="n">
        <v>1</v>
      </c>
      <c r="F162" s="3" t="inlineStr">
        <is>
          <t>1번 문항풀(디지털 기초소양)</t>
        </is>
      </c>
      <c r="G162" s="2" t="n">
        <v>1</v>
      </c>
      <c r="H162" s="2" t="inlineStr">
        <is>
          <t>PRIV</t>
        </is>
      </c>
      <c r="I162" s="3" t="inlineStr">
        <is>
          <t>개인정보 보호</t>
        </is>
      </c>
      <c r="J162" s="4" t="inlineStr">
        <is>
          <t>A</t>
        </is>
      </c>
      <c r="K162" s="5" t="inlineStr">
        <is>
          <t>Y</t>
        </is>
      </c>
      <c r="L162" s="5" t="inlineStr">
        <is>
          <t>고3-P1-A1</t>
        </is>
      </c>
      <c r="M162" s="5" t="inlineStr">
        <is>
          <t>기초 기준문항</t>
        </is>
      </c>
      <c r="N162" s="6" t="inlineStr">
        <is>
          <t>진학·취업 준비 과정에서 개인정보를 다룰 때 가장 바람직한 태도는?</t>
        </is>
      </c>
      <c r="O162" s="6" t="inlineStr">
        <is>
          <t>제출 목적과 공개 범위를 확인해 필요한 만큼만 제공한다</t>
        </is>
      </c>
      <c r="P162" s="6" t="inlineStr">
        <is>
          <t>편의를 위해 어디에나 같은 정보를 올린다</t>
        </is>
      </c>
      <c r="Q162" s="6" t="inlineStr">
        <is>
          <t>친구 계정으로 대신 제출한다</t>
        </is>
      </c>
      <c r="R162" s="6" t="inlineStr">
        <is>
          <t>공공장소 컴퓨터에 자료를 저장해 둔다</t>
        </is>
      </c>
      <c r="S162" s="7" t="n">
        <v>1</v>
      </c>
      <c r="T162" s="6" t="inlineStr">
        <is>
          <t>제출 목적과 공개 범위를 확인해 필요한 만큼만 제공한다</t>
        </is>
      </c>
      <c r="U162" s="7" t="inlineStr">
        <is>
          <t>개인정보 보호 기초 판단</t>
        </is>
      </c>
      <c r="V162" s="6" t="inlineStr">
        <is>
          <t>고3 1번 문항풀의 개인정보 보호 영역 진단 문항입니다. 학생이 개인정보 노출 위험을 인식하고 안전한 대응을 선택하는지를 확인하는 데 활용합니다.</t>
        </is>
      </c>
      <c r="W162" s="7" t="inlineStr">
        <is>
          <t>1-2-3-4-1-2-3-4-1-2</t>
        </is>
      </c>
    </row>
    <row r="163">
      <c r="A163" s="2" t="inlineStr">
        <is>
          <t>H3-P1-02</t>
        </is>
      </c>
      <c r="B163" s="2" t="inlineStr">
        <is>
          <t>고등</t>
        </is>
      </c>
      <c r="C163" s="2" t="inlineStr">
        <is>
          <t>고3</t>
        </is>
      </c>
      <c r="D163" s="2" t="n">
        <v>1</v>
      </c>
      <c r="E163" s="2" t="n">
        <v>1</v>
      </c>
      <c r="F163" s="3" t="inlineStr">
        <is>
          <t>1번 문항풀(디지털 기초소양)</t>
        </is>
      </c>
      <c r="G163" s="2" t="n">
        <v>2</v>
      </c>
      <c r="H163" s="2" t="inlineStr">
        <is>
          <t>SAFE_ACC</t>
        </is>
      </c>
      <c r="I163" s="3" t="inlineStr">
        <is>
          <t>계정 안전</t>
        </is>
      </c>
      <c r="J163" s="4" t="inlineStr">
        <is>
          <t>A</t>
        </is>
      </c>
      <c r="K163" s="2" t="inlineStr">
        <is>
          <t>N</t>
        </is>
      </c>
      <c r="L163" s="2" t="inlineStr"/>
      <c r="M163" s="2" t="inlineStr"/>
      <c r="N163" s="6" t="inlineStr">
        <is>
          <t>중요 계정을 안전하게 관리하는 방법으로 가장 알맞은 것은?</t>
        </is>
      </c>
      <c r="O163" s="6" t="inlineStr">
        <is>
          <t>비밀번호를 반복 사용한다</t>
        </is>
      </c>
      <c r="P163" s="6" t="inlineStr">
        <is>
          <t>보안 인증을 활용하고 정기적으로 점검한다</t>
        </is>
      </c>
      <c r="Q163" s="6" t="inlineStr">
        <is>
          <t>메신저에 비밀번호를 보내 둔다</t>
        </is>
      </c>
      <c r="R163" s="6" t="inlineStr">
        <is>
          <t>친구와 공유한다</t>
        </is>
      </c>
      <c r="S163" s="7" t="n">
        <v>2</v>
      </c>
      <c r="T163" s="6" t="inlineStr">
        <is>
          <t>보안 인증을 활용하고 정기적으로 점검한다</t>
        </is>
      </c>
      <c r="U163" s="7" t="inlineStr">
        <is>
          <t>계정 안전 기초 판단</t>
        </is>
      </c>
      <c r="V163" s="6" t="inlineStr">
        <is>
          <t>고3 1번 문항풀의 계정 안전 영역 진단 문항입니다. 학생이 계정 보안의 기본 원칙을 이해하고 실천하려는지를 확인하는 데 활용합니다.</t>
        </is>
      </c>
      <c r="W163" s="7" t="inlineStr">
        <is>
          <t>1-2-3-4-1-2-3-4-1-2</t>
        </is>
      </c>
    </row>
    <row r="164">
      <c r="A164" s="2" t="inlineStr">
        <is>
          <t>H3-P1-03</t>
        </is>
      </c>
      <c r="B164" s="2" t="inlineStr">
        <is>
          <t>고등</t>
        </is>
      </c>
      <c r="C164" s="2" t="inlineStr">
        <is>
          <t>고3</t>
        </is>
      </c>
      <c r="D164" s="2" t="n">
        <v>1</v>
      </c>
      <c r="E164" s="2" t="n">
        <v>1</v>
      </c>
      <c r="F164" s="3" t="inlineStr">
        <is>
          <t>1번 문항풀(디지털 기초소양)</t>
        </is>
      </c>
      <c r="G164" s="2" t="n">
        <v>3</v>
      </c>
      <c r="H164" s="2" t="inlineStr">
        <is>
          <t>NET_CIT</t>
        </is>
      </c>
      <c r="I164" s="3" t="inlineStr">
        <is>
          <t>디지털 시민성</t>
        </is>
      </c>
      <c r="J164" s="8" t="inlineStr">
        <is>
          <t>B</t>
        </is>
      </c>
      <c r="K164" s="2" t="inlineStr">
        <is>
          <t>N</t>
        </is>
      </c>
      <c r="L164" s="2" t="inlineStr"/>
      <c r="M164" s="2" t="inlineStr"/>
      <c r="N164" s="6" t="inlineStr">
        <is>
          <t>온라인에서의 표현이 중요한 이유로 가장 알맞은 것은?</t>
        </is>
      </c>
      <c r="O164" s="6" t="inlineStr">
        <is>
          <t>인터넷 글은 기록이 남지 않아서</t>
        </is>
      </c>
      <c r="P164" s="6" t="inlineStr">
        <is>
          <t>익명이면 책임이 없어서</t>
        </is>
      </c>
      <c r="Q164" s="6" t="inlineStr">
        <is>
          <t>평판과 향후 기회에 영향을 줄 수 있어서</t>
        </is>
      </c>
      <c r="R164" s="6" t="inlineStr">
        <is>
          <t>친구끼리는 상관없어서</t>
        </is>
      </c>
      <c r="S164" s="7" t="n">
        <v>3</v>
      </c>
      <c r="T164" s="6" t="inlineStr">
        <is>
          <t>평판과 향후 기회에 영향을 줄 수 있어서</t>
        </is>
      </c>
      <c r="U164" s="7" t="inlineStr">
        <is>
          <t>디지털 시민성 기초 판단</t>
        </is>
      </c>
      <c r="V164" s="6" t="inlineStr">
        <is>
          <t>고3 1번 문항풀의 디지털 시민성 영역 진단 문항입니다. 학생이 온라인에서 타인을 배려하고 책임 있게 행동하는지를 확인하는 데 활용합니다.</t>
        </is>
      </c>
      <c r="W164" s="7" t="inlineStr">
        <is>
          <t>1-2-3-4-1-2-3-4-1-2</t>
        </is>
      </c>
    </row>
    <row r="165">
      <c r="A165" s="2" t="inlineStr">
        <is>
          <t>H3-P1-04</t>
        </is>
      </c>
      <c r="B165" s="2" t="inlineStr">
        <is>
          <t>고등</t>
        </is>
      </c>
      <c r="C165" s="2" t="inlineStr">
        <is>
          <t>고3</t>
        </is>
      </c>
      <c r="D165" s="2" t="n">
        <v>1</v>
      </c>
      <c r="E165" s="2" t="n">
        <v>1</v>
      </c>
      <c r="F165" s="3" t="inlineStr">
        <is>
          <t>1번 문항풀(디지털 기초소양)</t>
        </is>
      </c>
      <c r="G165" s="2" t="n">
        <v>4</v>
      </c>
      <c r="H165" s="2" t="inlineStr">
        <is>
          <t>COPY</t>
        </is>
      </c>
      <c r="I165" s="3" t="inlineStr">
        <is>
          <t>저작권·학습윤리</t>
        </is>
      </c>
      <c r="J165" s="8" t="inlineStr">
        <is>
          <t>B</t>
        </is>
      </c>
      <c r="K165" s="2" t="inlineStr">
        <is>
          <t>N</t>
        </is>
      </c>
      <c r="L165" s="2" t="inlineStr"/>
      <c r="M165" s="2" t="inlineStr"/>
      <c r="N165" s="6" t="inlineStr">
        <is>
          <t>대학이나 사회 진입 전 자료 활용 윤리로 가장 적절한 태도는?</t>
        </is>
      </c>
      <c r="O165" s="6" t="inlineStr">
        <is>
          <t>필요하면 출처 없이 사용한다</t>
        </is>
      </c>
      <c r="P165" s="6" t="inlineStr">
        <is>
          <t>조금 바꾸면 내 자료가 된다</t>
        </is>
      </c>
      <c r="Q165" s="6" t="inlineStr">
        <is>
          <t>친구가 허락하면 아무 자료나 사용한다</t>
        </is>
      </c>
      <c r="R165" s="6" t="inlineStr">
        <is>
          <t>출처를 밝히고 이용 조건을 지킨다</t>
        </is>
      </c>
      <c r="S165" s="7" t="n">
        <v>4</v>
      </c>
      <c r="T165" s="6" t="inlineStr">
        <is>
          <t>출처를 밝히고 이용 조건을 지킨다</t>
        </is>
      </c>
      <c r="U165" s="7" t="inlineStr">
        <is>
          <t>저작권·학습윤리 기초 판단</t>
        </is>
      </c>
      <c r="V165" s="6" t="inlineStr">
        <is>
          <t>고3 1번 문항풀의 저작권·학습윤리 영역 진단 문항입니다. 학생이 출처 표기와 학습 윤리의 필요를 이해하는지를 확인하는 데 활용합니다.</t>
        </is>
      </c>
      <c r="W165" s="7" t="inlineStr">
        <is>
          <t>1-2-3-4-1-2-3-4-1-2</t>
        </is>
      </c>
    </row>
    <row r="166">
      <c r="A166" s="2" t="inlineStr">
        <is>
          <t>H3-P1-05</t>
        </is>
      </c>
      <c r="B166" s="2" t="inlineStr">
        <is>
          <t>고등</t>
        </is>
      </c>
      <c r="C166" s="2" t="inlineStr">
        <is>
          <t>고3</t>
        </is>
      </c>
      <c r="D166" s="2" t="n">
        <v>1</v>
      </c>
      <c r="E166" s="2" t="n">
        <v>1</v>
      </c>
      <c r="F166" s="3" t="inlineStr">
        <is>
          <t>1번 문항풀(디지털 기초소양)</t>
        </is>
      </c>
      <c r="G166" s="2" t="n">
        <v>5</v>
      </c>
      <c r="H166" s="2" t="inlineStr">
        <is>
          <t>INFO</t>
        </is>
      </c>
      <c r="I166" s="3" t="inlineStr">
        <is>
          <t>정보 신뢰성</t>
        </is>
      </c>
      <c r="J166" s="11" t="inlineStr">
        <is>
          <t>C</t>
        </is>
      </c>
      <c r="K166" s="5" t="inlineStr">
        <is>
          <t>Y</t>
        </is>
      </c>
      <c r="L166" s="5" t="inlineStr">
        <is>
          <t>고3-P1-A2</t>
        </is>
      </c>
      <c r="M166" s="5" t="inlineStr">
        <is>
          <t>비판적 판단 기준문항</t>
        </is>
      </c>
      <c r="N166" s="6" t="inlineStr">
        <is>
          <t>사회·진로 정보를 판단할 때 중요한 기준으로 가장 알맞은 것은?</t>
        </is>
      </c>
      <c r="O166" s="6" t="inlineStr">
        <is>
          <t>출처, 근거, 목적, 최신성</t>
        </is>
      </c>
      <c r="P166" s="6" t="inlineStr">
        <is>
          <t>디자인과 길이</t>
        </is>
      </c>
      <c r="Q166" s="6" t="inlineStr">
        <is>
          <t>조회 수만</t>
        </is>
      </c>
      <c r="R166" s="6" t="inlineStr">
        <is>
          <t>댓글 수만</t>
        </is>
      </c>
      <c r="S166" s="7" t="n">
        <v>1</v>
      </c>
      <c r="T166" s="6" t="inlineStr">
        <is>
          <t>출처, 근거, 목적, 최신성</t>
        </is>
      </c>
      <c r="U166" s="7" t="inlineStr">
        <is>
          <t>정보 신뢰성 기초 판단</t>
        </is>
      </c>
      <c r="V166" s="6" t="inlineStr">
        <is>
          <t>고3 1번 문항풀의 정보 신뢰성 영역 진단 문항입니다. 학생이 온라인 정보의 출처와 신뢰도를 판단하는지를 확인하는 데 활용합니다.</t>
        </is>
      </c>
      <c r="W166" s="7" t="inlineStr">
        <is>
          <t>1-2-3-4-1-2-3-4-1-2</t>
        </is>
      </c>
    </row>
    <row r="167">
      <c r="A167" s="2" t="inlineStr">
        <is>
          <t>H3-P1-06</t>
        </is>
      </c>
      <c r="B167" s="2" t="inlineStr">
        <is>
          <t>고등</t>
        </is>
      </c>
      <c r="C167" s="2" t="inlineStr">
        <is>
          <t>고3</t>
        </is>
      </c>
      <c r="D167" s="2" t="n">
        <v>1</v>
      </c>
      <c r="E167" s="2" t="n">
        <v>1</v>
      </c>
      <c r="F167" s="3" t="inlineStr">
        <is>
          <t>1번 문항풀(디지털 기초소양)</t>
        </is>
      </c>
      <c r="G167" s="2" t="n">
        <v>6</v>
      </c>
      <c r="H167" s="2" t="inlineStr">
        <is>
          <t>INFO</t>
        </is>
      </c>
      <c r="I167" s="3" t="inlineStr">
        <is>
          <t>정보 신뢰성</t>
        </is>
      </c>
      <c r="J167" s="11" t="inlineStr">
        <is>
          <t>C</t>
        </is>
      </c>
      <c r="K167" s="2" t="inlineStr">
        <is>
          <t>N</t>
        </is>
      </c>
      <c r="L167" s="2" t="inlineStr"/>
      <c r="M167" s="2" t="inlineStr"/>
      <c r="N167" s="6" t="inlineStr">
        <is>
          <t>진로 관련 온라인 정보를 접했을 때 바람직한 태도는?</t>
        </is>
      </c>
      <c r="O167" s="6" t="inlineStr">
        <is>
          <t>내가 듣고 싶은 내용이면 믿는다</t>
        </is>
      </c>
      <c r="P167" s="6" t="inlineStr">
        <is>
          <t>공식 자료와 여러 출처를 함께 확인한다</t>
        </is>
      </c>
      <c r="Q167" s="6" t="inlineStr">
        <is>
          <t>홍보 문구만 보고 결정한다</t>
        </is>
      </c>
      <c r="R167" s="6" t="inlineStr">
        <is>
          <t>친구가 좋다 하면 따른다</t>
        </is>
      </c>
      <c r="S167" s="7" t="n">
        <v>2</v>
      </c>
      <c r="T167" s="6" t="inlineStr">
        <is>
          <t>공식 자료와 여러 출처를 함께 확인한다</t>
        </is>
      </c>
      <c r="U167" s="7" t="inlineStr">
        <is>
          <t>정보 신뢰성 기초 판단</t>
        </is>
      </c>
      <c r="V167" s="6" t="inlineStr">
        <is>
          <t>고3 1번 문항풀의 정보 신뢰성 영역 진단 문항입니다. 학생이 온라인 정보의 출처와 신뢰도를 판단하는지를 확인하는 데 활용합니다.</t>
        </is>
      </c>
      <c r="W167" s="7" t="inlineStr">
        <is>
          <t>1-2-3-4-1-2-3-4-1-2</t>
        </is>
      </c>
    </row>
    <row r="168">
      <c r="A168" s="2" t="inlineStr">
        <is>
          <t>H3-P1-07</t>
        </is>
      </c>
      <c r="B168" s="2" t="inlineStr">
        <is>
          <t>고등</t>
        </is>
      </c>
      <c r="C168" s="2" t="inlineStr">
        <is>
          <t>고3</t>
        </is>
      </c>
      <c r="D168" s="2" t="n">
        <v>1</v>
      </c>
      <c r="E168" s="2" t="n">
        <v>1</v>
      </c>
      <c r="F168" s="3" t="inlineStr">
        <is>
          <t>1번 문항풀(디지털 기초소양)</t>
        </is>
      </c>
      <c r="G168" s="2" t="n">
        <v>7</v>
      </c>
      <c r="H168" s="2" t="inlineStr">
        <is>
          <t>SAFE</t>
        </is>
      </c>
      <c r="I168" s="3" t="inlineStr">
        <is>
          <t>디지털 안전</t>
        </is>
      </c>
      <c r="J168" s="4" t="inlineStr">
        <is>
          <t>A</t>
        </is>
      </c>
      <c r="K168" s="2" t="inlineStr">
        <is>
          <t>N</t>
        </is>
      </c>
      <c r="L168" s="2" t="inlineStr"/>
      <c r="M168" s="2" t="inlineStr"/>
      <c r="N168" s="6" t="inlineStr">
        <is>
          <t>취업·아르바이트 사칭 메시지가 의심될 때 가장 적절한 행동은?</t>
        </is>
      </c>
      <c r="O168" s="6" t="inlineStr">
        <is>
          <t>급하니 바로 응답한다</t>
        </is>
      </c>
      <c r="P168" s="6" t="inlineStr">
        <is>
          <t>링크를 먼저 누른다</t>
        </is>
      </c>
      <c r="Q168" s="6" t="inlineStr">
        <is>
          <t>공식 연락처를 별도로 확인한다</t>
        </is>
      </c>
      <c r="R168" s="6" t="inlineStr">
        <is>
          <t>개인정보를 보내 본다</t>
        </is>
      </c>
      <c r="S168" s="7" t="n">
        <v>3</v>
      </c>
      <c r="T168" s="6" t="inlineStr">
        <is>
          <t>공식 연락처를 별도로 확인한다</t>
        </is>
      </c>
      <c r="U168" s="7" t="inlineStr">
        <is>
          <t>디지털 안전 기초 판단</t>
        </is>
      </c>
      <c r="V168" s="6" t="inlineStr">
        <is>
          <t>고3 1번 문항풀의 디지털 안전 영역 진단 문항입니다. 학생이 의심스러운 상황을 인식하고 안전하게 대처하는지를 확인하는 데 활용합니다.</t>
        </is>
      </c>
      <c r="W168" s="7" t="inlineStr">
        <is>
          <t>1-2-3-4-1-2-3-4-1-2</t>
        </is>
      </c>
    </row>
    <row r="169">
      <c r="A169" s="2" t="inlineStr">
        <is>
          <t>H3-P1-08</t>
        </is>
      </c>
      <c r="B169" s="2" t="inlineStr">
        <is>
          <t>고등</t>
        </is>
      </c>
      <c r="C169" s="2" t="inlineStr">
        <is>
          <t>고3</t>
        </is>
      </c>
      <c r="D169" s="2" t="n">
        <v>1</v>
      </c>
      <c r="E169" s="2" t="n">
        <v>1</v>
      </c>
      <c r="F169" s="3" t="inlineStr">
        <is>
          <t>1번 문항풀(디지털 기초소양)</t>
        </is>
      </c>
      <c r="G169" s="2" t="n">
        <v>8</v>
      </c>
      <c r="H169" s="2" t="inlineStr">
        <is>
          <t>TRACE</t>
        </is>
      </c>
      <c r="I169" s="3" t="inlineStr">
        <is>
          <t>디지털 발자국</t>
        </is>
      </c>
      <c r="J169" s="8" t="inlineStr">
        <is>
          <t>B</t>
        </is>
      </c>
      <c r="K169" s="2" t="inlineStr">
        <is>
          <t>N</t>
        </is>
      </c>
      <c r="L169" s="2" t="inlineStr"/>
      <c r="M169" s="2" t="inlineStr"/>
      <c r="N169" s="6" t="inlineStr">
        <is>
          <t>온라인 흔적 관리가 중요한 이유로 가장 알맞은 것은?</t>
        </is>
      </c>
      <c r="O169" s="6" t="inlineStr">
        <is>
          <t>삭제하면 끝이라서</t>
        </is>
      </c>
      <c r="P169" s="6" t="inlineStr">
        <is>
          <t>친구끼리는 상관없어서</t>
        </is>
      </c>
      <c r="Q169" s="6" t="inlineStr">
        <is>
          <t>비공개면 절대 남지 않아서</t>
        </is>
      </c>
      <c r="R169" s="6" t="inlineStr">
        <is>
          <t>오래 남아 타인의 판단에 영향을 줄 수 있어서</t>
        </is>
      </c>
      <c r="S169" s="7" t="n">
        <v>4</v>
      </c>
      <c r="T169" s="6" t="inlineStr">
        <is>
          <t>오래 남아 타인의 판단에 영향을 줄 수 있어서</t>
        </is>
      </c>
      <c r="U169" s="7" t="inlineStr">
        <is>
          <t>디지털 발자국 기초 판단</t>
        </is>
      </c>
      <c r="V169" s="6" t="inlineStr">
        <is>
          <t>고3 1번 문항풀의 디지털 발자국 영역 진단 문항입니다. 학생이 온라인 기록의 지속성과 영향력을 이해하는지를 확인하는 데 활용합니다.</t>
        </is>
      </c>
      <c r="W169" s="7" t="inlineStr">
        <is>
          <t>1-2-3-4-1-2-3-4-1-2</t>
        </is>
      </c>
    </row>
    <row r="170">
      <c r="A170" s="2" t="inlineStr">
        <is>
          <t>H3-P1-09</t>
        </is>
      </c>
      <c r="B170" s="2" t="inlineStr">
        <is>
          <t>고등</t>
        </is>
      </c>
      <c r="C170" s="2" t="inlineStr">
        <is>
          <t>고3</t>
        </is>
      </c>
      <c r="D170" s="2" t="n">
        <v>1</v>
      </c>
      <c r="E170" s="2" t="n">
        <v>1</v>
      </c>
      <c r="F170" s="3" t="inlineStr">
        <is>
          <t>1번 문항풀(디지털 기초소양)</t>
        </is>
      </c>
      <c r="G170" s="2" t="n">
        <v>9</v>
      </c>
      <c r="H170" s="2" t="inlineStr">
        <is>
          <t>ETHIC</t>
        </is>
      </c>
      <c r="I170" s="3" t="inlineStr">
        <is>
          <t>학습윤리</t>
        </is>
      </c>
      <c r="J170" s="11" t="inlineStr">
        <is>
          <t>C</t>
        </is>
      </c>
      <c r="K170" s="2" t="inlineStr">
        <is>
          <t>N</t>
        </is>
      </c>
      <c r="L170" s="2" t="inlineStr"/>
      <c r="M170" s="2" t="inlineStr"/>
      <c r="N170" s="6" t="inlineStr">
        <is>
          <t>생성형 도구에 과도하게 의존하면 생길 수 있는 문제로 가장 알맞은 것은?</t>
        </is>
      </c>
      <c r="O170" s="6" t="inlineStr">
        <is>
          <t>자기 사고와 판단 기회가 줄어든다</t>
        </is>
      </c>
      <c r="P170" s="6" t="inlineStr">
        <is>
          <t>파일이 커진다</t>
        </is>
      </c>
      <c r="Q170" s="6" t="inlineStr">
        <is>
          <t>화면이 어두워진다</t>
        </is>
      </c>
      <c r="R170" s="6" t="inlineStr">
        <is>
          <t>입력이 짧아진다</t>
        </is>
      </c>
      <c r="S170" s="7" t="n">
        <v>1</v>
      </c>
      <c r="T170" s="6" t="inlineStr">
        <is>
          <t>자기 사고와 판단 기회가 줄어든다</t>
        </is>
      </c>
      <c r="U170" s="7" t="inlineStr">
        <is>
          <t>학습윤리 기초 판단</t>
        </is>
      </c>
      <c r="V170" s="6" t="inlineStr">
        <is>
          <t>고3 1번 문항풀의 학습윤리 영역 진단 문항입니다. 학생이 과제 수행에서 정직성과 자기 사고의 중요성을 이해하는지를 확인하는 데 활용합니다.</t>
        </is>
      </c>
      <c r="W170" s="7" t="inlineStr">
        <is>
          <t>1-2-3-4-1-2-3-4-1-2</t>
        </is>
      </c>
    </row>
    <row r="171">
      <c r="A171" s="2" t="inlineStr">
        <is>
          <t>H3-P1-10</t>
        </is>
      </c>
      <c r="B171" s="2" t="inlineStr">
        <is>
          <t>고등</t>
        </is>
      </c>
      <c r="C171" s="2" t="inlineStr">
        <is>
          <t>고3</t>
        </is>
      </c>
      <c r="D171" s="2" t="n">
        <v>1</v>
      </c>
      <c r="E171" s="2" t="n">
        <v>1</v>
      </c>
      <c r="F171" s="3" t="inlineStr">
        <is>
          <t>1번 문항풀(디지털 기초소양)</t>
        </is>
      </c>
      <c r="G171" s="2" t="n">
        <v>10</v>
      </c>
      <c r="H171" s="2" t="inlineStr">
        <is>
          <t>RESP</t>
        </is>
      </c>
      <c r="I171" s="3" t="inlineStr">
        <is>
          <t>책임감</t>
        </is>
      </c>
      <c r="J171" s="8" t="inlineStr">
        <is>
          <t>B</t>
        </is>
      </c>
      <c r="K171" s="2" t="inlineStr">
        <is>
          <t>N</t>
        </is>
      </c>
      <c r="L171" s="2" t="inlineStr"/>
      <c r="M171" s="2" t="inlineStr"/>
      <c r="N171" s="6" t="inlineStr">
        <is>
          <t>졸업 전 필요한 디지털 규범 태도로 가장 알맞은 것은?</t>
        </is>
      </c>
      <c r="O171" s="6" t="inlineStr">
        <is>
          <t>빠르기만 하면 된다</t>
        </is>
      </c>
      <c r="P171" s="6" t="inlineStr">
        <is>
          <t>온라인에서도 책임과 신뢰를 지키는 것이다</t>
        </is>
      </c>
      <c r="Q171" s="6" t="inlineStr">
        <is>
          <t>들키지 않으면 괜찮다</t>
        </is>
      </c>
      <c r="R171" s="6" t="inlineStr">
        <is>
          <t>내 계정이 아니면 상관없다</t>
        </is>
      </c>
      <c r="S171" s="7" t="n">
        <v>2</v>
      </c>
      <c r="T171" s="6" t="inlineStr">
        <is>
          <t>온라인에서도 책임과 신뢰를 지키는 것이다</t>
        </is>
      </c>
      <c r="U171" s="7" t="inlineStr">
        <is>
          <t>책임감 기초 판단</t>
        </is>
      </c>
      <c r="V171" s="6" t="inlineStr">
        <is>
          <t>고3 1번 문항풀의 책임감 영역 진단 문항입니다. 학생이 학교·공동 환경에서 디지털 규칙을 지키는지를 확인하는 데 활용합니다.</t>
        </is>
      </c>
      <c r="W171" s="7" t="inlineStr">
        <is>
          <t>1-2-3-4-1-2-3-4-1-2</t>
        </is>
      </c>
    </row>
    <row r="172">
      <c r="A172" s="9" t="inlineStr">
        <is>
          <t>H3-P2-01</t>
        </is>
      </c>
      <c r="B172" s="9" t="inlineStr">
        <is>
          <t>고등</t>
        </is>
      </c>
      <c r="C172" s="9" t="inlineStr">
        <is>
          <t>고3</t>
        </is>
      </c>
      <c r="D172" s="9" t="n">
        <v>2</v>
      </c>
      <c r="E172" s="9" t="n">
        <v>2</v>
      </c>
      <c r="F172" s="10" t="inlineStr">
        <is>
          <t>2번 문항풀(AI 활용 기초)</t>
        </is>
      </c>
      <c r="G172" s="9" t="n">
        <v>1</v>
      </c>
      <c r="H172" s="9" t="inlineStr">
        <is>
          <t>AIU</t>
        </is>
      </c>
      <c r="I172" s="10" t="inlineStr">
        <is>
          <t>AI 이해</t>
        </is>
      </c>
      <c r="J172" s="4" t="inlineStr">
        <is>
          <t>A</t>
        </is>
      </c>
      <c r="K172" s="5" t="inlineStr">
        <is>
          <t>Y</t>
        </is>
      </c>
      <c r="L172" s="5" t="inlineStr">
        <is>
          <t>고3-P2-A1</t>
        </is>
      </c>
      <c r="M172" s="5" t="inlineStr">
        <is>
          <t>기초 기준문항</t>
        </is>
      </c>
      <c r="N172" s="6" t="inlineStr">
        <is>
          <t>생성형 AI의 장점과 한계를 동시에 이해한 설명으로 가장 알맞은 것은?</t>
        </is>
      </c>
      <c r="O172" s="6" t="inlineStr">
        <is>
          <t>느리지만 항상 정확하다</t>
        </is>
      </c>
      <c r="P172" s="6" t="inlineStr">
        <is>
          <t>사람보다 윤리적이다</t>
        </is>
      </c>
      <c r="Q172" s="6" t="inlineStr">
        <is>
          <t>빠르게 도움을 줄 수 있지만 오류도 낼 수 있다</t>
        </is>
      </c>
      <c r="R172" s="6" t="inlineStr">
        <is>
          <t>입력과 상관없이 동일한 답만 낸다</t>
        </is>
      </c>
      <c r="S172" s="7" t="n">
        <v>3</v>
      </c>
      <c r="T172" s="6" t="inlineStr">
        <is>
          <t>빠르게 도움을 줄 수 있지만 오류도 낼 수 있다</t>
        </is>
      </c>
      <c r="U172" s="7" t="inlineStr">
        <is>
          <t>AI 이해 기초 판단</t>
        </is>
      </c>
      <c r="V172" s="6" t="inlineStr">
        <is>
          <t>고3 2번 문항풀의 AI 이해 영역 진단 문항입니다. 학생이 AI의 기본 원리와 한계를 구분하는지를 확인하는 데 활용합니다.</t>
        </is>
      </c>
      <c r="W172" s="7" t="inlineStr">
        <is>
          <t>3-4-1-2-3-4-1-2-3-4</t>
        </is>
      </c>
    </row>
    <row r="173">
      <c r="A173" s="9" t="inlineStr">
        <is>
          <t>H3-P2-02</t>
        </is>
      </c>
      <c r="B173" s="9" t="inlineStr">
        <is>
          <t>고등</t>
        </is>
      </c>
      <c r="C173" s="9" t="inlineStr">
        <is>
          <t>고3</t>
        </is>
      </c>
      <c r="D173" s="9" t="n">
        <v>2</v>
      </c>
      <c r="E173" s="9" t="n">
        <v>2</v>
      </c>
      <c r="F173" s="10" t="inlineStr">
        <is>
          <t>2번 문항풀(AI 활용 기초)</t>
        </is>
      </c>
      <c r="G173" s="9" t="n">
        <v>2</v>
      </c>
      <c r="H173" s="9" t="inlineStr">
        <is>
          <t>AIU</t>
        </is>
      </c>
      <c r="I173" s="10" t="inlineStr">
        <is>
          <t>AI 이해</t>
        </is>
      </c>
      <c r="J173" s="4" t="inlineStr">
        <is>
          <t>A</t>
        </is>
      </c>
      <c r="K173" s="9" t="inlineStr">
        <is>
          <t>N</t>
        </is>
      </c>
      <c r="L173" s="9" t="inlineStr"/>
      <c r="M173" s="9" t="inlineStr"/>
      <c r="N173" s="6" t="inlineStr">
        <is>
          <t>AI가 만든 내용의 사실성을 별도로 검토해야 하는 이유는?</t>
        </is>
      </c>
      <c r="O173" s="6" t="inlineStr">
        <is>
          <t>문장이 예뻐서</t>
        </is>
      </c>
      <c r="P173" s="6" t="inlineStr">
        <is>
          <t>길이가 짧아서</t>
        </is>
      </c>
      <c r="Q173" s="6" t="inlineStr">
        <is>
          <t>그래프가 없어서</t>
        </is>
      </c>
      <c r="R173" s="6" t="inlineStr">
        <is>
          <t>그럴듯하지만 틀린 정보가 포함될 수 있어서</t>
        </is>
      </c>
      <c r="S173" s="7" t="n">
        <v>4</v>
      </c>
      <c r="T173" s="6" t="inlineStr">
        <is>
          <t>그럴듯하지만 틀린 정보가 포함될 수 있어서</t>
        </is>
      </c>
      <c r="U173" s="7" t="inlineStr">
        <is>
          <t>AI 이해 기초 판단</t>
        </is>
      </c>
      <c r="V173" s="6" t="inlineStr">
        <is>
          <t>고3 2번 문항풀의 AI 이해 영역 진단 문항입니다. 학생이 AI의 기본 원리와 한계를 구분하는지를 확인하는 데 활용합니다.</t>
        </is>
      </c>
      <c r="W173" s="7" t="inlineStr">
        <is>
          <t>3-4-1-2-3-4-1-2-3-4</t>
        </is>
      </c>
    </row>
    <row r="174">
      <c r="A174" s="9" t="inlineStr">
        <is>
          <t>H3-P2-03</t>
        </is>
      </c>
      <c r="B174" s="9" t="inlineStr">
        <is>
          <t>고등</t>
        </is>
      </c>
      <c r="C174" s="9" t="inlineStr">
        <is>
          <t>고3</t>
        </is>
      </c>
      <c r="D174" s="9" t="n">
        <v>2</v>
      </c>
      <c r="E174" s="9" t="n">
        <v>2</v>
      </c>
      <c r="F174" s="10" t="inlineStr">
        <is>
          <t>2번 문항풀(AI 활용 기초)</t>
        </is>
      </c>
      <c r="G174" s="9" t="n">
        <v>3</v>
      </c>
      <c r="H174" s="9" t="inlineStr">
        <is>
          <t>AIA</t>
        </is>
      </c>
      <c r="I174" s="10" t="inlineStr">
        <is>
          <t>AI 활용 태도</t>
        </is>
      </c>
      <c r="J174" s="8" t="inlineStr">
        <is>
          <t>B</t>
        </is>
      </c>
      <c r="K174" s="9" t="inlineStr">
        <is>
          <t>N</t>
        </is>
      </c>
      <c r="L174" s="9" t="inlineStr"/>
      <c r="M174" s="9" t="inlineStr"/>
      <c r="N174" s="6" t="inlineStr">
        <is>
          <t>진학·진로 준비에 AI를 활용할 때 가장 바람직한 태도는?</t>
        </is>
      </c>
      <c r="O174" s="6" t="inlineStr">
        <is>
          <t>참고자료로 활용하되 내 상황과 공식 정보를 함께 본다</t>
        </is>
      </c>
      <c r="P174" s="6" t="inlineStr">
        <is>
          <t>추천 내용을 그대로 따른다</t>
        </is>
      </c>
      <c r="Q174" s="6" t="inlineStr">
        <is>
          <t>친구가 쓰는 내용과 같게 제출한다</t>
        </is>
      </c>
      <c r="R174" s="6" t="inlineStr">
        <is>
          <t>출처와 근거는 보지 않는다</t>
        </is>
      </c>
      <c r="S174" s="7" t="n">
        <v>1</v>
      </c>
      <c r="T174" s="6" t="inlineStr">
        <is>
          <t>참고자료로 활용하되 내 상황과 공식 정보를 함께 본다</t>
        </is>
      </c>
      <c r="U174" s="7" t="inlineStr">
        <is>
          <t>AI 활용 태도 기초 판단</t>
        </is>
      </c>
      <c r="V174" s="6" t="inlineStr">
        <is>
          <t>고3 2번 문항풀의 AI 활용 태도 영역 진단 문항입니다. 학생이 AI를 무비판적으로 사용하지 않고 검토하려는지를 확인하는 데 활용합니다.</t>
        </is>
      </c>
      <c r="W174" s="7" t="inlineStr">
        <is>
          <t>3-4-1-2-3-4-1-2-3-4</t>
        </is>
      </c>
    </row>
    <row r="175">
      <c r="A175" s="9" t="inlineStr">
        <is>
          <t>H3-P2-04</t>
        </is>
      </c>
      <c r="B175" s="9" t="inlineStr">
        <is>
          <t>고등</t>
        </is>
      </c>
      <c r="C175" s="9" t="inlineStr">
        <is>
          <t>고3</t>
        </is>
      </c>
      <c r="D175" s="9" t="n">
        <v>2</v>
      </c>
      <c r="E175" s="9" t="n">
        <v>2</v>
      </c>
      <c r="F175" s="10" t="inlineStr">
        <is>
          <t>2번 문항풀(AI 활용 기초)</t>
        </is>
      </c>
      <c r="G175" s="9" t="n">
        <v>4</v>
      </c>
      <c r="H175" s="9" t="inlineStr">
        <is>
          <t>DPS</t>
        </is>
      </c>
      <c r="I175" s="10" t="inlineStr">
        <is>
          <t>문제해결</t>
        </is>
      </c>
      <c r="J175" s="8" t="inlineStr">
        <is>
          <t>B</t>
        </is>
      </c>
      <c r="K175" s="9" t="inlineStr">
        <is>
          <t>N</t>
        </is>
      </c>
      <c r="L175" s="9" t="inlineStr"/>
      <c r="M175" s="9" t="inlineStr"/>
      <c r="N175" s="6" t="inlineStr">
        <is>
          <t>실제 문제를 디지털 도구와 함께 해결할 때 바람직한 접근은?</t>
        </is>
      </c>
      <c r="O175" s="6" t="inlineStr">
        <is>
          <t>결과만 나오면 과정을 무시한다</t>
        </is>
      </c>
      <c r="P175" s="6" t="inlineStr">
        <is>
          <t>문제 정의-정보 수집-검토-수정의 과정을 거친다</t>
        </is>
      </c>
      <c r="Q175" s="6" t="inlineStr">
        <is>
          <t>AI가 한 답을 그대로 따른다</t>
        </is>
      </c>
      <c r="R175" s="6" t="inlineStr">
        <is>
          <t>하나의 도구만 고집한다</t>
        </is>
      </c>
      <c r="S175" s="7" t="n">
        <v>2</v>
      </c>
      <c r="T175" s="6" t="inlineStr">
        <is>
          <t>문제 정의-정보 수집-검토-수정의 과정을 거친다</t>
        </is>
      </c>
      <c r="U175" s="7" t="inlineStr">
        <is>
          <t>문제해결 기초 판단</t>
        </is>
      </c>
      <c r="V175" s="6" t="inlineStr">
        <is>
          <t>고3 2번 문항풀의 문제해결 영역 진단 문항입니다. 학생이 디지털 문제를 단계적으로 해결하려는지를 확인하는 데 활용합니다.</t>
        </is>
      </c>
      <c r="W175" s="7" t="inlineStr">
        <is>
          <t>3-4-1-2-3-4-1-2-3-4</t>
        </is>
      </c>
    </row>
    <row r="176">
      <c r="A176" s="9" t="inlineStr">
        <is>
          <t>H3-P2-05</t>
        </is>
      </c>
      <c r="B176" s="9" t="inlineStr">
        <is>
          <t>고등</t>
        </is>
      </c>
      <c r="C176" s="9" t="inlineStr">
        <is>
          <t>고3</t>
        </is>
      </c>
      <c r="D176" s="9" t="n">
        <v>2</v>
      </c>
      <c r="E176" s="9" t="n">
        <v>2</v>
      </c>
      <c r="F176" s="10" t="inlineStr">
        <is>
          <t>2번 문항풀(AI 활용 기초)</t>
        </is>
      </c>
      <c r="G176" s="9" t="n">
        <v>5</v>
      </c>
      <c r="H176" s="9" t="inlineStr">
        <is>
          <t>AIC</t>
        </is>
      </c>
      <c r="I176" s="10" t="inlineStr">
        <is>
          <t>결과 검토</t>
        </is>
      </c>
      <c r="J176" s="11" t="inlineStr">
        <is>
          <t>C</t>
        </is>
      </c>
      <c r="K176" s="5" t="inlineStr">
        <is>
          <t>Y</t>
        </is>
      </c>
      <c r="L176" s="5" t="inlineStr">
        <is>
          <t>고3-P2-A2</t>
        </is>
      </c>
      <c r="M176" s="5" t="inlineStr">
        <is>
          <t>비판적 판단 기준문항</t>
        </is>
      </c>
      <c r="N176" s="6" t="inlineStr">
        <is>
          <t>AI가 정리한 대학 전공 정보를 검토할 때 가장 적절한 행동은?</t>
        </is>
      </c>
      <c r="O176" s="6" t="inlineStr">
        <is>
          <t>홍보 문구만 확인한다</t>
        </is>
      </c>
      <c r="P176" s="6" t="inlineStr">
        <is>
          <t>친구 말만 듣는다</t>
        </is>
      </c>
      <c r="Q176" s="6" t="inlineStr">
        <is>
          <t>공식 대학 자료와 비교한다</t>
        </is>
      </c>
      <c r="R176" s="6" t="inlineStr">
        <is>
          <t>길이가 길면 믿는다</t>
        </is>
      </c>
      <c r="S176" s="7" t="n">
        <v>3</v>
      </c>
      <c r="T176" s="6" t="inlineStr">
        <is>
          <t>공식 대학 자료와 비교한다</t>
        </is>
      </c>
      <c r="U176" s="7" t="inlineStr">
        <is>
          <t>결과 검토 기초 판단</t>
        </is>
      </c>
      <c r="V176" s="6" t="inlineStr">
        <is>
          <t>고3 2번 문항풀의 결과 검토 영역 진단 문항입니다. 학생이 AI·디지털 결과물을 근거 중심으로 다시 확인하는지를 확인하는 데 활용합니다.</t>
        </is>
      </c>
      <c r="W176" s="7" t="inlineStr">
        <is>
          <t>3-4-1-2-3-4-1-2-3-4</t>
        </is>
      </c>
    </row>
    <row r="177">
      <c r="A177" s="9" t="inlineStr">
        <is>
          <t>H3-P2-06</t>
        </is>
      </c>
      <c r="B177" s="9" t="inlineStr">
        <is>
          <t>고등</t>
        </is>
      </c>
      <c r="C177" s="9" t="inlineStr">
        <is>
          <t>고3</t>
        </is>
      </c>
      <c r="D177" s="9" t="n">
        <v>2</v>
      </c>
      <c r="E177" s="9" t="n">
        <v>2</v>
      </c>
      <c r="F177" s="10" t="inlineStr">
        <is>
          <t>2번 문항풀(AI 활용 기초)</t>
        </is>
      </c>
      <c r="G177" s="9" t="n">
        <v>6</v>
      </c>
      <c r="H177" s="9" t="inlineStr">
        <is>
          <t>AIE</t>
        </is>
      </c>
      <c r="I177" s="10" t="inlineStr">
        <is>
          <t>책임 있는 활용</t>
        </is>
      </c>
      <c r="J177" s="11" t="inlineStr">
        <is>
          <t>C</t>
        </is>
      </c>
      <c r="K177" s="9" t="inlineStr">
        <is>
          <t>N</t>
        </is>
      </c>
      <c r="L177" s="9" t="inlineStr"/>
      <c r="M177" s="9" t="inlineStr"/>
      <c r="N177" s="6" t="inlineStr">
        <is>
          <t>AI를 이용한 허위정보 확산이 위험한 이유로 가장 알맞은 것은?</t>
        </is>
      </c>
      <c r="O177" s="6" t="inlineStr">
        <is>
          <t>파일이 무거워져서</t>
        </is>
      </c>
      <c r="P177" s="6" t="inlineStr">
        <is>
          <t>기기가 낡아져서</t>
        </is>
      </c>
      <c r="Q177" s="6" t="inlineStr">
        <is>
          <t>배경음이 커져서</t>
        </is>
      </c>
      <c r="R177" s="6" t="inlineStr">
        <is>
          <t>빠르게 넓게 퍼져 실제 피해를 만들 수 있어서</t>
        </is>
      </c>
      <c r="S177" s="7" t="n">
        <v>4</v>
      </c>
      <c r="T177" s="6" t="inlineStr">
        <is>
          <t>빠르게 넓게 퍼져 실제 피해를 만들 수 있어서</t>
        </is>
      </c>
      <c r="U177" s="7" t="inlineStr">
        <is>
          <t>책임 있는 활용 기초 판단</t>
        </is>
      </c>
      <c r="V177" s="6" t="inlineStr">
        <is>
          <t>고3 2번 문항풀의 책임 있는 활용 영역 진단 문항입니다. 학생이 AI·디지털 도구를 타인에게 해를 주지 않게 사용하는지를 확인하는 데 활용합니다.</t>
        </is>
      </c>
      <c r="W177" s="7" t="inlineStr">
        <is>
          <t>3-4-1-2-3-4-1-2-3-4</t>
        </is>
      </c>
    </row>
    <row r="178">
      <c r="A178" s="9" t="inlineStr">
        <is>
          <t>H3-P2-07</t>
        </is>
      </c>
      <c r="B178" s="9" t="inlineStr">
        <is>
          <t>고등</t>
        </is>
      </c>
      <c r="C178" s="9" t="inlineStr">
        <is>
          <t>고3</t>
        </is>
      </c>
      <c r="D178" s="9" t="n">
        <v>2</v>
      </c>
      <c r="E178" s="9" t="n">
        <v>2</v>
      </c>
      <c r="F178" s="10" t="inlineStr">
        <is>
          <t>2번 문항풀(AI 활용 기초)</t>
        </is>
      </c>
      <c r="G178" s="9" t="n">
        <v>7</v>
      </c>
      <c r="H178" s="9" t="inlineStr">
        <is>
          <t>COL</t>
        </is>
      </c>
      <c r="I178" s="10" t="inlineStr">
        <is>
          <t>협업 태도</t>
        </is>
      </c>
      <c r="J178" s="4" t="inlineStr">
        <is>
          <t>A</t>
        </is>
      </c>
      <c r="K178" s="9" t="inlineStr">
        <is>
          <t>N</t>
        </is>
      </c>
      <c r="L178" s="9" t="inlineStr"/>
      <c r="M178" s="9" t="inlineStr"/>
      <c r="N178" s="6" t="inlineStr">
        <is>
          <t>디지털 협업에서 책임 있는 태도로 가장 알맞은 것은?</t>
        </is>
      </c>
      <c r="O178" s="6" t="inlineStr">
        <is>
          <t>역할과 수정 이력을 투명하게 관리한다</t>
        </is>
      </c>
      <c r="P178" s="6" t="inlineStr">
        <is>
          <t>기여 내용을 숨긴다</t>
        </is>
      </c>
      <c r="Q178" s="6" t="inlineStr">
        <is>
          <t>다른 사람 자료를 내 이름으로 낸다</t>
        </is>
      </c>
      <c r="R178" s="6" t="inlineStr">
        <is>
          <t>마감 직전에만 접속한다</t>
        </is>
      </c>
      <c r="S178" s="7" t="n">
        <v>1</v>
      </c>
      <c r="T178" s="6" t="inlineStr">
        <is>
          <t>역할과 수정 이력을 투명하게 관리한다</t>
        </is>
      </c>
      <c r="U178" s="7" t="inlineStr">
        <is>
          <t>협업 태도 기초 판단</t>
        </is>
      </c>
      <c r="V178" s="6" t="inlineStr">
        <is>
          <t>고3 2번 문항풀의 협업 태도 영역 진단 문항입니다. 학생이 디지털 환경에서 역할을 나누고 협력하는지를 확인하는 데 활용합니다.</t>
        </is>
      </c>
      <c r="W178" s="7" t="inlineStr">
        <is>
          <t>3-4-1-2-3-4-1-2-3-4</t>
        </is>
      </c>
    </row>
    <row r="179">
      <c r="A179" s="9" t="inlineStr">
        <is>
          <t>H3-P2-08</t>
        </is>
      </c>
      <c r="B179" s="9" t="inlineStr">
        <is>
          <t>고등</t>
        </is>
      </c>
      <c r="C179" s="9" t="inlineStr">
        <is>
          <t>고3</t>
        </is>
      </c>
      <c r="D179" s="9" t="n">
        <v>2</v>
      </c>
      <c r="E179" s="9" t="n">
        <v>2</v>
      </c>
      <c r="F179" s="10" t="inlineStr">
        <is>
          <t>2번 문항풀(AI 활용 기초)</t>
        </is>
      </c>
      <c r="G179" s="9" t="n">
        <v>8</v>
      </c>
      <c r="H179" s="9" t="inlineStr">
        <is>
          <t>SELF</t>
        </is>
      </c>
      <c r="I179" s="10" t="inlineStr">
        <is>
          <t>자기주도성</t>
        </is>
      </c>
      <c r="J179" s="8" t="inlineStr">
        <is>
          <t>B</t>
        </is>
      </c>
      <c r="K179" s="9" t="inlineStr">
        <is>
          <t>N</t>
        </is>
      </c>
      <c r="L179" s="9" t="inlineStr"/>
      <c r="M179" s="9" t="inlineStr"/>
      <c r="N179" s="6" t="inlineStr">
        <is>
          <t>대학이나 직무 환경을 준비하는 디지털 태도로 가장 알맞은 것은?</t>
        </is>
      </c>
      <c r="O179" s="6" t="inlineStr">
        <is>
          <t>도구가 바뀌면 배우지 않는다</t>
        </is>
      </c>
      <c r="P179" s="6" t="inlineStr">
        <is>
          <t>필요한 도구를 스스로 익히고 검토하는 태도</t>
        </is>
      </c>
      <c r="Q179" s="6" t="inlineStr">
        <is>
          <t>늘 다른 사람에게 맡긴다</t>
        </is>
      </c>
      <c r="R179" s="6" t="inlineStr">
        <is>
          <t>결과만 복사하는 태도</t>
        </is>
      </c>
      <c r="S179" s="7" t="n">
        <v>2</v>
      </c>
      <c r="T179" s="6" t="inlineStr">
        <is>
          <t>필요한 도구를 스스로 익히고 검토하는 태도</t>
        </is>
      </c>
      <c r="U179" s="7" t="inlineStr">
        <is>
          <t>자기주도성 기초 판단</t>
        </is>
      </c>
      <c r="V179" s="6" t="inlineStr">
        <is>
          <t>고3 2번 문항풀의 자기주도성 영역 진단 문항입니다. 학생이 새로운 디지털 도구를 스스로 시도하고 학습하려는지를 확인하는 데 활용합니다.</t>
        </is>
      </c>
      <c r="W179" s="7" t="inlineStr">
        <is>
          <t>3-4-1-2-3-4-1-2-3-4</t>
        </is>
      </c>
    </row>
    <row r="180">
      <c r="A180" s="9" t="inlineStr">
        <is>
          <t>H3-P2-09</t>
        </is>
      </c>
      <c r="B180" s="9" t="inlineStr">
        <is>
          <t>고등</t>
        </is>
      </c>
      <c r="C180" s="9" t="inlineStr">
        <is>
          <t>고3</t>
        </is>
      </c>
      <c r="D180" s="9" t="n">
        <v>2</v>
      </c>
      <c r="E180" s="9" t="n">
        <v>2</v>
      </c>
      <c r="F180" s="10" t="inlineStr">
        <is>
          <t>2번 문항풀(AI 활용 기초)</t>
        </is>
      </c>
      <c r="G180" s="9" t="n">
        <v>9</v>
      </c>
      <c r="H180" s="9" t="inlineStr">
        <is>
          <t>DATA</t>
        </is>
      </c>
      <c r="I180" s="10" t="inlineStr">
        <is>
          <t>데이터 이해</t>
        </is>
      </c>
      <c r="J180" s="11" t="inlineStr">
        <is>
          <t>C</t>
        </is>
      </c>
      <c r="K180" s="9" t="inlineStr">
        <is>
          <t>N</t>
        </is>
      </c>
      <c r="L180" s="9" t="inlineStr"/>
      <c r="M180" s="9" t="inlineStr"/>
      <c r="N180" s="6" t="inlineStr">
        <is>
          <t>데이터 편향을 이해해야 하는 이유로 가장 알맞은 것은?</t>
        </is>
      </c>
      <c r="O180" s="6" t="inlineStr">
        <is>
          <t>그래프 색깔을 정하기 위해</t>
        </is>
      </c>
      <c r="P180" s="6" t="inlineStr">
        <is>
          <t>파일 이름을 꾸미기 위해</t>
        </is>
      </c>
      <c r="Q180" s="6" t="inlineStr">
        <is>
          <t>해석과 결정이 한쪽으로 치우칠 수 있어서</t>
        </is>
      </c>
      <c r="R180" s="6" t="inlineStr">
        <is>
          <t>용량을 줄이기 위해</t>
        </is>
      </c>
      <c r="S180" s="7" t="n">
        <v>3</v>
      </c>
      <c r="T180" s="6" t="inlineStr">
        <is>
          <t>해석과 결정이 한쪽으로 치우칠 수 있어서</t>
        </is>
      </c>
      <c r="U180" s="7" t="inlineStr">
        <is>
          <t>데이터 이해 기초 판단</t>
        </is>
      </c>
      <c r="V180" s="6" t="inlineStr">
        <is>
          <t>고3 2번 문항풀의 데이터 이해 영역 진단 문항입니다. 학생이 데이터가 결과에 영향을 준다는 점을 이해하는지를 확인하는 데 활용합니다.</t>
        </is>
      </c>
      <c r="W180" s="7" t="inlineStr">
        <is>
          <t>3-4-1-2-3-4-1-2-3-4</t>
        </is>
      </c>
    </row>
    <row r="181">
      <c r="A181" s="9" t="inlineStr">
        <is>
          <t>H3-P2-10</t>
        </is>
      </c>
      <c r="B181" s="9" t="inlineStr">
        <is>
          <t>고등</t>
        </is>
      </c>
      <c r="C181" s="9" t="inlineStr">
        <is>
          <t>고3</t>
        </is>
      </c>
      <c r="D181" s="9" t="n">
        <v>2</v>
      </c>
      <c r="E181" s="9" t="n">
        <v>2</v>
      </c>
      <c r="F181" s="10" t="inlineStr">
        <is>
          <t>2번 문항풀(AI 활용 기초)</t>
        </is>
      </c>
      <c r="G181" s="9" t="n">
        <v>10</v>
      </c>
      <c r="H181" s="9" t="inlineStr">
        <is>
          <t>CARE</t>
        </is>
      </c>
      <c r="I181" s="10" t="inlineStr">
        <is>
          <t>진로 인식</t>
        </is>
      </c>
      <c r="J181" s="8" t="inlineStr">
        <is>
          <t>B</t>
        </is>
      </c>
      <c r="K181" s="9" t="inlineStr">
        <is>
          <t>N</t>
        </is>
      </c>
      <c r="L181" s="9" t="inlineStr"/>
      <c r="M181" s="9" t="inlineStr"/>
      <c r="N181" s="6" t="inlineStr">
        <is>
          <t>사회 진입 전 필요한 디지털 역량으로 가장 알맞은 것은?</t>
        </is>
      </c>
      <c r="O181" s="6" t="inlineStr">
        <is>
          <t>빠른 복사 능력</t>
        </is>
      </c>
      <c r="P181" s="6" t="inlineStr">
        <is>
          <t>화려한 디자인만 만드는 능력</t>
        </is>
      </c>
      <c r="Q181" s="6" t="inlineStr">
        <is>
          <t>한 프로그램만 오래 쓰는 능력</t>
        </is>
      </c>
      <c r="R181" s="6" t="inlineStr">
        <is>
          <t>정보 검증, 책임 있는 AI 활용, 협업 역량</t>
        </is>
      </c>
      <c r="S181" s="7" t="n">
        <v>4</v>
      </c>
      <c r="T181" s="6" t="inlineStr">
        <is>
          <t>정보 검증, 책임 있는 AI 활용, 협업 역량</t>
        </is>
      </c>
      <c r="U181" s="7" t="inlineStr">
        <is>
          <t>진로 인식 기초 판단</t>
        </is>
      </c>
      <c r="V181" s="6" t="inlineStr">
        <is>
          <t>고3 2번 문항풀의 진로 인식 영역 진단 문항입니다. 학생이 디지털 역량과 진로의 연결성을 인식하는지를 확인하는 데 활용합니다.</t>
        </is>
      </c>
      <c r="W181" s="7" t="inlineStr">
        <is>
          <t>3-4-1-2-3-4-1-2-3-4</t>
        </is>
      </c>
    </row>
  </sheetData>
  <autoFilter ref="A1:W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6" customWidth="1" min="7" max="7"/>
  </cols>
  <sheetData>
    <row r="1">
      <c r="A1" s="12" t="inlineStr">
        <is>
          <t>grade</t>
        </is>
      </c>
      <c r="B1" s="12" t="inlineStr">
        <is>
          <t>pool_no</t>
        </is>
      </c>
      <c r="C1" s="12" t="inlineStr">
        <is>
          <t>정답위치1</t>
        </is>
      </c>
      <c r="D1" s="12" t="inlineStr">
        <is>
          <t>정답위치2</t>
        </is>
      </c>
      <c r="E1" s="12" t="inlineStr">
        <is>
          <t>정답위치3</t>
        </is>
      </c>
      <c r="F1" s="12" t="inlineStr">
        <is>
          <t>정답위치4</t>
        </is>
      </c>
      <c r="G1" s="12" t="inlineStr">
        <is>
          <t>총문항수</t>
        </is>
      </c>
    </row>
    <row r="2">
      <c r="A2" t="inlineStr">
        <is>
          <t>고1</t>
        </is>
      </c>
      <c r="B2" t="n">
        <v>1</v>
      </c>
      <c r="C2" t="n">
        <v>2</v>
      </c>
      <c r="D2" t="n">
        <v>2</v>
      </c>
      <c r="E2" t="n">
        <v>3</v>
      </c>
      <c r="F2" t="n">
        <v>3</v>
      </c>
      <c r="G2" t="n">
        <v>10</v>
      </c>
    </row>
    <row r="3">
      <c r="A3" t="inlineStr">
        <is>
          <t>고1</t>
        </is>
      </c>
      <c r="B3" t="n">
        <v>2</v>
      </c>
      <c r="C3" t="n">
        <v>3</v>
      </c>
      <c r="D3" t="n">
        <v>2</v>
      </c>
      <c r="E3" t="n">
        <v>3</v>
      </c>
      <c r="F3" t="n">
        <v>2</v>
      </c>
      <c r="G3" t="n">
        <v>10</v>
      </c>
    </row>
    <row r="4">
      <c r="A4" t="inlineStr">
        <is>
          <t>고2</t>
        </is>
      </c>
      <c r="B4" t="n">
        <v>1</v>
      </c>
      <c r="C4" t="n">
        <v>3</v>
      </c>
      <c r="D4" t="n">
        <v>2</v>
      </c>
      <c r="E4" t="n">
        <v>2</v>
      </c>
      <c r="F4" t="n">
        <v>3</v>
      </c>
      <c r="G4" t="n">
        <v>10</v>
      </c>
    </row>
    <row r="5">
      <c r="A5" t="inlineStr">
        <is>
          <t>고2</t>
        </is>
      </c>
      <c r="B5" t="n">
        <v>2</v>
      </c>
      <c r="C5" t="n">
        <v>2</v>
      </c>
      <c r="D5" t="n">
        <v>3</v>
      </c>
      <c r="E5" t="n">
        <v>2</v>
      </c>
      <c r="F5" t="n">
        <v>3</v>
      </c>
      <c r="G5" t="n">
        <v>10</v>
      </c>
    </row>
    <row r="6">
      <c r="A6" t="inlineStr">
        <is>
          <t>고3</t>
        </is>
      </c>
      <c r="B6" t="n">
        <v>1</v>
      </c>
      <c r="C6" t="n">
        <v>3</v>
      </c>
      <c r="D6" t="n">
        <v>3</v>
      </c>
      <c r="E6" t="n">
        <v>2</v>
      </c>
      <c r="F6" t="n">
        <v>2</v>
      </c>
      <c r="G6" t="n">
        <v>10</v>
      </c>
    </row>
    <row r="7">
      <c r="A7" t="inlineStr">
        <is>
          <t>고3</t>
        </is>
      </c>
      <c r="B7" t="n">
        <v>2</v>
      </c>
      <c r="C7" t="n">
        <v>2</v>
      </c>
      <c r="D7" t="n">
        <v>2</v>
      </c>
      <c r="E7" t="n">
        <v>3</v>
      </c>
      <c r="F7" t="n">
        <v>3</v>
      </c>
      <c r="G7" t="n">
        <v>10</v>
      </c>
    </row>
    <row r="8">
      <c r="A8" t="inlineStr">
        <is>
          <t>중1</t>
        </is>
      </c>
      <c r="B8" t="n">
        <v>1</v>
      </c>
      <c r="C8" t="n">
        <v>3</v>
      </c>
      <c r="D8" t="n">
        <v>2</v>
      </c>
      <c r="E8" t="n">
        <v>2</v>
      </c>
      <c r="F8" t="n">
        <v>3</v>
      </c>
      <c r="G8" t="n">
        <v>10</v>
      </c>
    </row>
    <row r="9">
      <c r="A9" t="inlineStr">
        <is>
          <t>중1</t>
        </is>
      </c>
      <c r="B9" t="n">
        <v>2</v>
      </c>
      <c r="C9" t="n">
        <v>2</v>
      </c>
      <c r="D9" t="n">
        <v>3</v>
      </c>
      <c r="E9" t="n">
        <v>2</v>
      </c>
      <c r="F9" t="n">
        <v>3</v>
      </c>
      <c r="G9" t="n">
        <v>10</v>
      </c>
    </row>
    <row r="10">
      <c r="A10" t="inlineStr">
        <is>
          <t>중2</t>
        </is>
      </c>
      <c r="B10" t="n">
        <v>1</v>
      </c>
      <c r="C10" t="n">
        <v>3</v>
      </c>
      <c r="D10" t="n">
        <v>3</v>
      </c>
      <c r="E10" t="n">
        <v>2</v>
      </c>
      <c r="F10" t="n">
        <v>2</v>
      </c>
      <c r="G10" t="n">
        <v>10</v>
      </c>
    </row>
    <row r="11">
      <c r="A11" t="inlineStr">
        <is>
          <t>중2</t>
        </is>
      </c>
      <c r="B11" t="n">
        <v>2</v>
      </c>
      <c r="C11" t="n">
        <v>2</v>
      </c>
      <c r="D11" t="n">
        <v>2</v>
      </c>
      <c r="E11" t="n">
        <v>3</v>
      </c>
      <c r="F11" t="n">
        <v>3</v>
      </c>
      <c r="G11" t="n">
        <v>10</v>
      </c>
    </row>
    <row r="12">
      <c r="A12" t="inlineStr">
        <is>
          <t>중3</t>
        </is>
      </c>
      <c r="B12" t="n">
        <v>1</v>
      </c>
      <c r="C12" t="n">
        <v>2</v>
      </c>
      <c r="D12" t="n">
        <v>3</v>
      </c>
      <c r="E12" t="n">
        <v>3</v>
      </c>
      <c r="F12" t="n">
        <v>2</v>
      </c>
      <c r="G12" t="n">
        <v>10</v>
      </c>
    </row>
    <row r="13">
      <c r="A13" t="inlineStr">
        <is>
          <t>중3</t>
        </is>
      </c>
      <c r="B13" t="n">
        <v>2</v>
      </c>
      <c r="C13" t="n">
        <v>3</v>
      </c>
      <c r="D13" t="n">
        <v>2</v>
      </c>
      <c r="E13" t="n">
        <v>2</v>
      </c>
      <c r="F13" t="n">
        <v>3</v>
      </c>
      <c r="G13" t="n">
        <v>10</v>
      </c>
    </row>
    <row r="14">
      <c r="A14" t="inlineStr">
        <is>
          <t>초4</t>
        </is>
      </c>
      <c r="B14" t="n">
        <v>1</v>
      </c>
      <c r="C14" t="n">
        <v>3</v>
      </c>
      <c r="D14" t="n">
        <v>3</v>
      </c>
      <c r="E14" t="n">
        <v>2</v>
      </c>
      <c r="F14" t="n">
        <v>2</v>
      </c>
      <c r="G14" t="n">
        <v>10</v>
      </c>
    </row>
    <row r="15">
      <c r="A15" t="inlineStr">
        <is>
          <t>초4</t>
        </is>
      </c>
      <c r="B15" t="n">
        <v>2</v>
      </c>
      <c r="C15" t="n">
        <v>2</v>
      </c>
      <c r="D15" t="n">
        <v>2</v>
      </c>
      <c r="E15" t="n">
        <v>3</v>
      </c>
      <c r="F15" t="n">
        <v>3</v>
      </c>
      <c r="G15" t="n">
        <v>10</v>
      </c>
    </row>
    <row r="16">
      <c r="A16" t="inlineStr">
        <is>
          <t>초5</t>
        </is>
      </c>
      <c r="B16" t="n">
        <v>1</v>
      </c>
      <c r="C16" t="n">
        <v>2</v>
      </c>
      <c r="D16" t="n">
        <v>3</v>
      </c>
      <c r="E16" t="n">
        <v>3</v>
      </c>
      <c r="F16" t="n">
        <v>2</v>
      </c>
      <c r="G16" t="n">
        <v>10</v>
      </c>
    </row>
    <row r="17">
      <c r="A17" t="inlineStr">
        <is>
          <t>초5</t>
        </is>
      </c>
      <c r="B17" t="n">
        <v>2</v>
      </c>
      <c r="C17" t="n">
        <v>3</v>
      </c>
      <c r="D17" t="n">
        <v>2</v>
      </c>
      <c r="E17" t="n">
        <v>2</v>
      </c>
      <c r="F17" t="n">
        <v>3</v>
      </c>
      <c r="G17" t="n">
        <v>10</v>
      </c>
    </row>
    <row r="18">
      <c r="A18" t="inlineStr">
        <is>
          <t>초6</t>
        </is>
      </c>
      <c r="B18" t="n">
        <v>1</v>
      </c>
      <c r="C18" t="n">
        <v>2</v>
      </c>
      <c r="D18" t="n">
        <v>2</v>
      </c>
      <c r="E18" t="n">
        <v>3</v>
      </c>
      <c r="F18" t="n">
        <v>3</v>
      </c>
      <c r="G18" t="n">
        <v>10</v>
      </c>
    </row>
    <row r="19">
      <c r="A19" t="inlineStr">
        <is>
          <t>초6</t>
        </is>
      </c>
      <c r="B19" t="n">
        <v>2</v>
      </c>
      <c r="C19" t="n">
        <v>3</v>
      </c>
      <c r="D19" t="n">
        <v>2</v>
      </c>
      <c r="E19" t="n">
        <v>3</v>
      </c>
      <c r="F19" t="n">
        <v>2</v>
      </c>
      <c r="G19" t="n">
        <v>10</v>
      </c>
    </row>
  </sheetData>
  <autoFilter ref="A1:G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</cols>
  <sheetData>
    <row r="1">
      <c r="A1" s="12" t="inlineStr">
        <is>
          <t>grade</t>
        </is>
      </c>
      <c r="B1" s="12" t="inlineStr">
        <is>
          <t>pool_no</t>
        </is>
      </c>
      <c r="C1" s="12" t="inlineStr">
        <is>
          <t>난이도A</t>
        </is>
      </c>
      <c r="D1" s="12" t="inlineStr">
        <is>
          <t>난이도B</t>
        </is>
      </c>
      <c r="E1" s="12" t="inlineStr">
        <is>
          <t>난이도C</t>
        </is>
      </c>
      <c r="F1" s="12" t="inlineStr">
        <is>
          <t>총문항수</t>
        </is>
      </c>
    </row>
    <row r="2">
      <c r="A2" t="inlineStr">
        <is>
          <t>고1</t>
        </is>
      </c>
      <c r="B2" t="n">
        <v>1</v>
      </c>
      <c r="C2" t="n">
        <v>3</v>
      </c>
      <c r="D2" t="n">
        <v>4</v>
      </c>
      <c r="E2" t="n">
        <v>3</v>
      </c>
      <c r="F2" t="n">
        <v>10</v>
      </c>
    </row>
    <row r="3">
      <c r="A3" t="inlineStr">
        <is>
          <t>고1</t>
        </is>
      </c>
      <c r="B3" t="n">
        <v>2</v>
      </c>
      <c r="C3" t="n">
        <v>3</v>
      </c>
      <c r="D3" t="n">
        <v>4</v>
      </c>
      <c r="E3" t="n">
        <v>3</v>
      </c>
      <c r="F3" t="n">
        <v>10</v>
      </c>
    </row>
    <row r="4">
      <c r="A4" t="inlineStr">
        <is>
          <t>고2</t>
        </is>
      </c>
      <c r="B4" t="n">
        <v>1</v>
      </c>
      <c r="C4" t="n">
        <v>3</v>
      </c>
      <c r="D4" t="n">
        <v>4</v>
      </c>
      <c r="E4" t="n">
        <v>3</v>
      </c>
      <c r="F4" t="n">
        <v>10</v>
      </c>
    </row>
    <row r="5">
      <c r="A5" t="inlineStr">
        <is>
          <t>고2</t>
        </is>
      </c>
      <c r="B5" t="n">
        <v>2</v>
      </c>
      <c r="C5" t="n">
        <v>3</v>
      </c>
      <c r="D5" t="n">
        <v>4</v>
      </c>
      <c r="E5" t="n">
        <v>3</v>
      </c>
      <c r="F5" t="n">
        <v>10</v>
      </c>
    </row>
    <row r="6">
      <c r="A6" t="inlineStr">
        <is>
          <t>고3</t>
        </is>
      </c>
      <c r="B6" t="n">
        <v>1</v>
      </c>
      <c r="C6" t="n">
        <v>3</v>
      </c>
      <c r="D6" t="n">
        <v>4</v>
      </c>
      <c r="E6" t="n">
        <v>3</v>
      </c>
      <c r="F6" t="n">
        <v>10</v>
      </c>
    </row>
    <row r="7">
      <c r="A7" t="inlineStr">
        <is>
          <t>고3</t>
        </is>
      </c>
      <c r="B7" t="n">
        <v>2</v>
      </c>
      <c r="C7" t="n">
        <v>3</v>
      </c>
      <c r="D7" t="n">
        <v>4</v>
      </c>
      <c r="E7" t="n">
        <v>3</v>
      </c>
      <c r="F7" t="n">
        <v>10</v>
      </c>
    </row>
    <row r="8">
      <c r="A8" t="inlineStr">
        <is>
          <t>중1</t>
        </is>
      </c>
      <c r="B8" t="n">
        <v>1</v>
      </c>
      <c r="C8" t="n">
        <v>4</v>
      </c>
      <c r="D8" t="n">
        <v>6</v>
      </c>
      <c r="E8" t="n">
        <v>0</v>
      </c>
      <c r="F8" t="n">
        <v>10</v>
      </c>
    </row>
    <row r="9">
      <c r="A9" t="inlineStr">
        <is>
          <t>중1</t>
        </is>
      </c>
      <c r="B9" t="n">
        <v>2</v>
      </c>
      <c r="C9" t="n">
        <v>4</v>
      </c>
      <c r="D9" t="n">
        <v>6</v>
      </c>
      <c r="E9" t="n">
        <v>0</v>
      </c>
      <c r="F9" t="n">
        <v>10</v>
      </c>
    </row>
    <row r="10">
      <c r="A10" t="inlineStr">
        <is>
          <t>중2</t>
        </is>
      </c>
      <c r="B10" t="n">
        <v>1</v>
      </c>
      <c r="C10" t="n">
        <v>3</v>
      </c>
      <c r="D10" t="n">
        <v>4</v>
      </c>
      <c r="E10" t="n">
        <v>3</v>
      </c>
      <c r="F10" t="n">
        <v>10</v>
      </c>
    </row>
    <row r="11">
      <c r="A11" t="inlineStr">
        <is>
          <t>중2</t>
        </is>
      </c>
      <c r="B11" t="n">
        <v>2</v>
      </c>
      <c r="C11" t="n">
        <v>3</v>
      </c>
      <c r="D11" t="n">
        <v>4</v>
      </c>
      <c r="E11" t="n">
        <v>3</v>
      </c>
      <c r="F11" t="n">
        <v>10</v>
      </c>
    </row>
    <row r="12">
      <c r="A12" t="inlineStr">
        <is>
          <t>중3</t>
        </is>
      </c>
      <c r="B12" t="n">
        <v>1</v>
      </c>
      <c r="C12" t="n">
        <v>3</v>
      </c>
      <c r="D12" t="n">
        <v>4</v>
      </c>
      <c r="E12" t="n">
        <v>3</v>
      </c>
      <c r="F12" t="n">
        <v>10</v>
      </c>
    </row>
    <row r="13">
      <c r="A13" t="inlineStr">
        <is>
          <t>중3</t>
        </is>
      </c>
      <c r="B13" t="n">
        <v>2</v>
      </c>
      <c r="C13" t="n">
        <v>3</v>
      </c>
      <c r="D13" t="n">
        <v>4</v>
      </c>
      <c r="E13" t="n">
        <v>3</v>
      </c>
      <c r="F13" t="n">
        <v>10</v>
      </c>
    </row>
    <row r="14">
      <c r="A14" t="inlineStr">
        <is>
          <t>초4</t>
        </is>
      </c>
      <c r="B14" t="n">
        <v>1</v>
      </c>
      <c r="C14" t="n">
        <v>5</v>
      </c>
      <c r="D14" t="n">
        <v>5</v>
      </c>
      <c r="E14" t="n">
        <v>0</v>
      </c>
      <c r="F14" t="n">
        <v>10</v>
      </c>
    </row>
    <row r="15">
      <c r="A15" t="inlineStr">
        <is>
          <t>초4</t>
        </is>
      </c>
      <c r="B15" t="n">
        <v>2</v>
      </c>
      <c r="C15" t="n">
        <v>5</v>
      </c>
      <c r="D15" t="n">
        <v>5</v>
      </c>
      <c r="E15" t="n">
        <v>0</v>
      </c>
      <c r="F15" t="n">
        <v>10</v>
      </c>
    </row>
    <row r="16">
      <c r="A16" t="inlineStr">
        <is>
          <t>초5</t>
        </is>
      </c>
      <c r="B16" t="n">
        <v>1</v>
      </c>
      <c r="C16" t="n">
        <v>5</v>
      </c>
      <c r="D16" t="n">
        <v>5</v>
      </c>
      <c r="E16" t="n">
        <v>0</v>
      </c>
      <c r="F16" t="n">
        <v>10</v>
      </c>
    </row>
    <row r="17">
      <c r="A17" t="inlineStr">
        <is>
          <t>초5</t>
        </is>
      </c>
      <c r="B17" t="n">
        <v>2</v>
      </c>
      <c r="C17" t="n">
        <v>5</v>
      </c>
      <c r="D17" t="n">
        <v>5</v>
      </c>
      <c r="E17" t="n">
        <v>0</v>
      </c>
      <c r="F17" t="n">
        <v>10</v>
      </c>
    </row>
    <row r="18">
      <c r="A18" t="inlineStr">
        <is>
          <t>초6</t>
        </is>
      </c>
      <c r="B18" t="n">
        <v>1</v>
      </c>
      <c r="C18" t="n">
        <v>4</v>
      </c>
      <c r="D18" t="n">
        <v>6</v>
      </c>
      <c r="E18" t="n">
        <v>0</v>
      </c>
      <c r="F18" t="n">
        <v>10</v>
      </c>
    </row>
    <row r="19">
      <c r="A19" t="inlineStr">
        <is>
          <t>초6</t>
        </is>
      </c>
      <c r="B19" t="n">
        <v>2</v>
      </c>
      <c r="C19" t="n">
        <v>4</v>
      </c>
      <c r="D19" t="n">
        <v>6</v>
      </c>
      <c r="E19" t="n">
        <v>0</v>
      </c>
      <c r="F19" t="n">
        <v>10</v>
      </c>
    </row>
  </sheetData>
  <autoFilter ref="A1:F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0" customWidth="1" min="3" max="3"/>
    <col width="9" customWidth="1" min="4" max="4"/>
    <col width="17" customWidth="1" min="5" max="5"/>
    <col width="13" customWidth="1" min="6" max="6"/>
    <col width="13" customWidth="1" min="7" max="7"/>
    <col width="48" customWidth="1" min="8" max="8"/>
  </cols>
  <sheetData>
    <row r="1">
      <c r="A1" s="12" t="inlineStr">
        <is>
          <t>grade</t>
        </is>
      </c>
      <c r="B1" s="12" t="inlineStr">
        <is>
          <t>pool_no</t>
        </is>
      </c>
      <c r="C1" s="12" t="inlineStr">
        <is>
          <t>item_id</t>
        </is>
      </c>
      <c r="D1" s="12" t="inlineStr">
        <is>
          <t>domain</t>
        </is>
      </c>
      <c r="E1" s="12" t="inlineStr">
        <is>
          <t>difficulty_band</t>
        </is>
      </c>
      <c r="F1" s="12" t="inlineStr">
        <is>
          <t>anchor_code</t>
        </is>
      </c>
      <c r="G1" s="12" t="inlineStr">
        <is>
          <t>anchor_type</t>
        </is>
      </c>
      <c r="H1" s="12" t="inlineStr">
        <is>
          <t>question</t>
        </is>
      </c>
    </row>
    <row r="2">
      <c r="A2" t="inlineStr">
        <is>
          <t>초4</t>
        </is>
      </c>
      <c r="B2" t="n">
        <v>1</v>
      </c>
      <c r="C2" t="inlineStr">
        <is>
          <t>E4-P1-01</t>
        </is>
      </c>
      <c r="D2" t="inlineStr">
        <is>
          <t>개인정보 보호</t>
        </is>
      </c>
      <c r="E2" t="inlineStr">
        <is>
          <t>A</t>
        </is>
      </c>
      <c r="F2" t="inlineStr">
        <is>
          <t>초4-P1-A1</t>
        </is>
      </c>
      <c r="G2" t="inlineStr">
        <is>
          <t>기초 기준문항</t>
        </is>
      </c>
      <c r="H2" t="inlineStr">
        <is>
          <t>온라인 게임 채팅방에서 처음 보는 사람이 내 전화번호를 알려 달라고 했다. 가장 알맞은 행동은?</t>
        </is>
      </c>
    </row>
    <row r="3">
      <c r="A3" t="inlineStr">
        <is>
          <t>초4</t>
        </is>
      </c>
      <c r="B3" t="n">
        <v>1</v>
      </c>
      <c r="C3" t="inlineStr">
        <is>
          <t>E4-P1-05</t>
        </is>
      </c>
      <c r="D3" t="inlineStr">
        <is>
          <t>정보 신뢰성</t>
        </is>
      </c>
      <c r="E3" t="inlineStr">
        <is>
          <t>B</t>
        </is>
      </c>
      <c r="F3" t="inlineStr">
        <is>
          <t>초4-P1-A2</t>
        </is>
      </c>
      <c r="G3" t="inlineStr">
        <is>
          <t>비판적 판단 기준문항</t>
        </is>
      </c>
      <c r="H3" t="inlineStr">
        <is>
          <t>인터넷에서 '이걸 먹으면 하루 만에 키가 10cm 커진다'는 글을 봤다. 가장 알맞은 생각은?</t>
        </is>
      </c>
    </row>
    <row r="4">
      <c r="A4" t="inlineStr">
        <is>
          <t>초4</t>
        </is>
      </c>
      <c r="B4" t="n">
        <v>2</v>
      </c>
      <c r="C4" t="inlineStr">
        <is>
          <t>E4-P2-01</t>
        </is>
      </c>
      <c r="D4" t="inlineStr">
        <is>
          <t>AI 이해</t>
        </is>
      </c>
      <c r="E4" t="inlineStr">
        <is>
          <t>A</t>
        </is>
      </c>
      <c r="F4" t="inlineStr">
        <is>
          <t>초4-P2-A1</t>
        </is>
      </c>
      <c r="G4" t="inlineStr">
        <is>
          <t>기초 기준문항</t>
        </is>
      </c>
      <c r="H4" t="inlineStr">
        <is>
          <t>AI에 대한 설명으로 가장 알맞은 것은?</t>
        </is>
      </c>
    </row>
    <row r="5">
      <c r="A5" t="inlineStr">
        <is>
          <t>초4</t>
        </is>
      </c>
      <c r="B5" t="n">
        <v>2</v>
      </c>
      <c r="C5" t="inlineStr">
        <is>
          <t>E4-P2-05</t>
        </is>
      </c>
      <c r="D5" t="inlineStr">
        <is>
          <t>데이터 이해</t>
        </is>
      </c>
      <c r="E5" t="inlineStr">
        <is>
          <t>B</t>
        </is>
      </c>
      <c r="F5" t="inlineStr">
        <is>
          <t>초4-P2-A2</t>
        </is>
      </c>
      <c r="G5" t="inlineStr">
        <is>
          <t>비판적 판단 기준문항</t>
        </is>
      </c>
      <c r="H5" t="inlineStr">
        <is>
          <t>AI가 그림을 알아보는 데 도움이 되는 것은?</t>
        </is>
      </c>
    </row>
    <row r="6">
      <c r="A6" t="inlineStr">
        <is>
          <t>초5</t>
        </is>
      </c>
      <c r="B6" t="n">
        <v>1</v>
      </c>
      <c r="C6" t="inlineStr">
        <is>
          <t>E5-P1-01</t>
        </is>
      </c>
      <c r="D6" t="inlineStr">
        <is>
          <t>개인정보 보호</t>
        </is>
      </c>
      <c r="E6" t="inlineStr">
        <is>
          <t>A</t>
        </is>
      </c>
      <c r="F6" t="inlineStr">
        <is>
          <t>초5-P1-A1</t>
        </is>
      </c>
      <c r="G6" t="inlineStr">
        <is>
          <t>기초 기준문항</t>
        </is>
      </c>
      <c r="H6" t="inlineStr">
        <is>
          <t>앱에 가입할 때 꼭 필요하지 않은 개인정보까지 입력하라고 하면 어떻게 하는 것이 가장 알맞은가?</t>
        </is>
      </c>
    </row>
    <row r="7">
      <c r="A7" t="inlineStr">
        <is>
          <t>초5</t>
        </is>
      </c>
      <c r="B7" t="n">
        <v>1</v>
      </c>
      <c r="C7" t="inlineStr">
        <is>
          <t>E5-P1-05</t>
        </is>
      </c>
      <c r="D7" t="inlineStr">
        <is>
          <t>정보 신뢰성</t>
        </is>
      </c>
      <c r="E7" t="inlineStr">
        <is>
          <t>B</t>
        </is>
      </c>
      <c r="F7" t="inlineStr">
        <is>
          <t>초5-P1-A2</t>
        </is>
      </c>
      <c r="G7" t="inlineStr">
        <is>
          <t>비판적 판단 기준문항</t>
        </is>
      </c>
      <c r="H7" t="inlineStr">
        <is>
          <t>검색 결과 맨 위에 나온 글을 볼 때 바른 생각은?</t>
        </is>
      </c>
    </row>
    <row r="8">
      <c r="A8" t="inlineStr">
        <is>
          <t>초5</t>
        </is>
      </c>
      <c r="B8" t="n">
        <v>2</v>
      </c>
      <c r="C8" t="inlineStr">
        <is>
          <t>E5-P2-01</t>
        </is>
      </c>
      <c r="D8" t="inlineStr">
        <is>
          <t>AI 이해</t>
        </is>
      </c>
      <c r="E8" t="inlineStr">
        <is>
          <t>A</t>
        </is>
      </c>
      <c r="F8" t="inlineStr">
        <is>
          <t>초5-P2-A1</t>
        </is>
      </c>
      <c r="G8" t="inlineStr">
        <is>
          <t>기초 기준문항</t>
        </is>
      </c>
      <c r="H8" t="inlineStr">
        <is>
          <t>AI에 대한 설명으로 가장 알맞은 것은?</t>
        </is>
      </c>
    </row>
    <row r="9">
      <c r="A9" t="inlineStr">
        <is>
          <t>초5</t>
        </is>
      </c>
      <c r="B9" t="n">
        <v>2</v>
      </c>
      <c r="C9" t="inlineStr">
        <is>
          <t>E5-P2-05</t>
        </is>
      </c>
      <c r="D9" t="inlineStr">
        <is>
          <t>결과 검토</t>
        </is>
      </c>
      <c r="E9" t="inlineStr">
        <is>
          <t>B</t>
        </is>
      </c>
      <c r="F9" t="inlineStr">
        <is>
          <t>초5-P2-A2</t>
        </is>
      </c>
      <c r="G9" t="inlineStr">
        <is>
          <t>비판적 판단 기준문항</t>
        </is>
      </c>
      <c r="H9" t="inlineStr">
        <is>
          <t>AI 결과가 이상해 보일 때 해야 할 일은?</t>
        </is>
      </c>
    </row>
    <row r="10">
      <c r="A10" t="inlineStr">
        <is>
          <t>초6</t>
        </is>
      </c>
      <c r="B10" t="n">
        <v>1</v>
      </c>
      <c r="C10" t="inlineStr">
        <is>
          <t>E6-P1-01</t>
        </is>
      </c>
      <c r="D10" t="inlineStr">
        <is>
          <t>개인정보 보호</t>
        </is>
      </c>
      <c r="E10" t="inlineStr">
        <is>
          <t>A</t>
        </is>
      </c>
      <c r="F10" t="inlineStr">
        <is>
          <t>초6-P1-A1</t>
        </is>
      </c>
      <c r="G10" t="inlineStr">
        <is>
          <t>기초 기준문항</t>
        </is>
      </c>
      <c r="H10" t="inlineStr">
        <is>
          <t>다음 중 개인정보에 해당하는 것을 고르세요.</t>
        </is>
      </c>
    </row>
    <row r="11">
      <c r="A11" t="inlineStr">
        <is>
          <t>초6</t>
        </is>
      </c>
      <c r="B11" t="n">
        <v>1</v>
      </c>
      <c r="C11" t="inlineStr">
        <is>
          <t>E6-P1-05</t>
        </is>
      </c>
      <c r="D11" t="inlineStr">
        <is>
          <t>정보 신뢰성</t>
        </is>
      </c>
      <c r="E11" t="inlineStr">
        <is>
          <t>B</t>
        </is>
      </c>
      <c r="F11" t="inlineStr">
        <is>
          <t>초6-P1-A2</t>
        </is>
      </c>
      <c r="G11" t="inlineStr">
        <is>
          <t>비판적 판단 기준문항</t>
        </is>
      </c>
      <c r="H11" t="inlineStr">
        <is>
          <t>인터넷에서 정보를 찾을 때 가장 먼저 확인하면 좋은 것은?</t>
        </is>
      </c>
    </row>
    <row r="12">
      <c r="A12" t="inlineStr">
        <is>
          <t>초6</t>
        </is>
      </c>
      <c r="B12" t="n">
        <v>2</v>
      </c>
      <c r="C12" t="inlineStr">
        <is>
          <t>E6-P2-01</t>
        </is>
      </c>
      <c r="D12" t="inlineStr">
        <is>
          <t>AI 이해</t>
        </is>
      </c>
      <c r="E12" t="inlineStr">
        <is>
          <t>A</t>
        </is>
      </c>
      <c r="F12" t="inlineStr">
        <is>
          <t>초6-P2-A1</t>
        </is>
      </c>
      <c r="G12" t="inlineStr">
        <is>
          <t>기초 기준문항</t>
        </is>
      </c>
      <c r="H12" t="inlineStr">
        <is>
          <t>AI가 결과를 만드는 방법에 대한 설명으로 가장 알맞은 것은?</t>
        </is>
      </c>
    </row>
    <row r="13">
      <c r="A13" t="inlineStr">
        <is>
          <t>초6</t>
        </is>
      </c>
      <c r="B13" t="n">
        <v>2</v>
      </c>
      <c r="C13" t="inlineStr">
        <is>
          <t>E6-P2-05</t>
        </is>
      </c>
      <c r="D13" t="inlineStr">
        <is>
          <t>결과 검토</t>
        </is>
      </c>
      <c r="E13" t="inlineStr">
        <is>
          <t>B</t>
        </is>
      </c>
      <c r="F13" t="inlineStr">
        <is>
          <t>초6-P2-A2</t>
        </is>
      </c>
      <c r="G13" t="inlineStr">
        <is>
          <t>비판적 판단 기준문항</t>
        </is>
      </c>
      <c r="H13" t="inlineStr">
        <is>
          <t>AI 결과와 내가 아는 내용이 다르면 어떻게 하는 것이 가장 좋을까?</t>
        </is>
      </c>
    </row>
    <row r="14">
      <c r="A14" t="inlineStr">
        <is>
          <t>중1</t>
        </is>
      </c>
      <c r="B14" t="n">
        <v>1</v>
      </c>
      <c r="C14" t="inlineStr">
        <is>
          <t>M1-P1-01</t>
        </is>
      </c>
      <c r="D14" t="inlineStr">
        <is>
          <t>개인정보 보호</t>
        </is>
      </c>
      <c r="E14" t="inlineStr">
        <is>
          <t>A</t>
        </is>
      </c>
      <c r="F14" t="inlineStr">
        <is>
          <t>중1-P1-A1</t>
        </is>
      </c>
      <c r="G14" t="inlineStr">
        <is>
          <t>기초 기준문항</t>
        </is>
      </c>
      <c r="H14" t="inlineStr">
        <is>
          <t>앱을 설치할 때 필요한 권한보다 더 많은 개인정보 접근을 요구한다면 가장 알맞은 행동은?</t>
        </is>
      </c>
    </row>
    <row r="15">
      <c r="A15" t="inlineStr">
        <is>
          <t>중1</t>
        </is>
      </c>
      <c r="B15" t="n">
        <v>1</v>
      </c>
      <c r="C15" t="inlineStr">
        <is>
          <t>M1-P1-05</t>
        </is>
      </c>
      <c r="D15" t="inlineStr">
        <is>
          <t>정보 신뢰성</t>
        </is>
      </c>
      <c r="E15" t="inlineStr">
        <is>
          <t>B</t>
        </is>
      </c>
      <c r="F15" t="inlineStr">
        <is>
          <t>중1-P1-A2</t>
        </is>
      </c>
      <c r="G15" t="inlineStr">
        <is>
          <t>비판적 판단 기준문항</t>
        </is>
      </c>
      <c r="H15" t="inlineStr">
        <is>
          <t>검색한 정보를 과제에 사용할 때 가장 좋은 방법은?</t>
        </is>
      </c>
    </row>
    <row r="16">
      <c r="A16" t="inlineStr">
        <is>
          <t>중1</t>
        </is>
      </c>
      <c r="B16" t="n">
        <v>2</v>
      </c>
      <c r="C16" t="inlineStr">
        <is>
          <t>M1-P2-01</t>
        </is>
      </c>
      <c r="D16" t="inlineStr">
        <is>
          <t>AI 이해</t>
        </is>
      </c>
      <c r="E16" t="inlineStr">
        <is>
          <t>A</t>
        </is>
      </c>
      <c r="F16" t="inlineStr">
        <is>
          <t>중1-P2-A1</t>
        </is>
      </c>
      <c r="G16" t="inlineStr">
        <is>
          <t>기초 기준문항</t>
        </is>
      </c>
      <c r="H16" t="inlineStr">
        <is>
          <t>생성형 AI에 대한 설명으로 가장 알맞은 것은?</t>
        </is>
      </c>
    </row>
    <row r="17">
      <c r="A17" t="inlineStr">
        <is>
          <t>중1</t>
        </is>
      </c>
      <c r="B17" t="n">
        <v>2</v>
      </c>
      <c r="C17" t="inlineStr">
        <is>
          <t>M1-P2-05</t>
        </is>
      </c>
      <c r="D17" t="inlineStr">
        <is>
          <t>결과 검토</t>
        </is>
      </c>
      <c r="E17" t="inlineStr">
        <is>
          <t>B</t>
        </is>
      </c>
      <c r="F17" t="inlineStr">
        <is>
          <t>중1-P2-A2</t>
        </is>
      </c>
      <c r="G17" t="inlineStr">
        <is>
          <t>비판적 판단 기준문항</t>
        </is>
      </c>
      <c r="H17" t="inlineStr">
        <is>
          <t>AI가 알려 준 역사 정보가 맞는지 확인하려면 어떻게 하는 것이 가장 좋을까?</t>
        </is>
      </c>
    </row>
    <row r="18">
      <c r="A18" t="inlineStr">
        <is>
          <t>중2</t>
        </is>
      </c>
      <c r="B18" t="n">
        <v>1</v>
      </c>
      <c r="C18" t="inlineStr">
        <is>
          <t>M2-P1-01</t>
        </is>
      </c>
      <c r="D18" t="inlineStr">
        <is>
          <t>개인정보 보호</t>
        </is>
      </c>
      <c r="E18" t="inlineStr">
        <is>
          <t>A</t>
        </is>
      </c>
      <c r="F18" t="inlineStr">
        <is>
          <t>중2-P1-A1</t>
        </is>
      </c>
      <c r="G18" t="inlineStr">
        <is>
          <t>기초 기준문항</t>
        </is>
      </c>
      <c r="H18" t="inlineStr">
        <is>
          <t>앱이 연락처, 사진, 위치까지 모두 허용하라고 할 때 가장 바람직한 판단은?</t>
        </is>
      </c>
    </row>
    <row r="19">
      <c r="A19" t="inlineStr">
        <is>
          <t>중2</t>
        </is>
      </c>
      <c r="B19" t="n">
        <v>1</v>
      </c>
      <c r="C19" t="inlineStr">
        <is>
          <t>M2-P1-05</t>
        </is>
      </c>
      <c r="D19" t="inlineStr">
        <is>
          <t>정보 신뢰성</t>
        </is>
      </c>
      <c r="E19" t="inlineStr">
        <is>
          <t>C</t>
        </is>
      </c>
      <c r="F19" t="inlineStr">
        <is>
          <t>중2-P1-A2</t>
        </is>
      </c>
      <c r="G19" t="inlineStr">
        <is>
          <t>비판적 판단 기준문항</t>
        </is>
      </c>
      <c r="H19" t="inlineStr">
        <is>
          <t>온라인에 올라온 사진이나 영상이 사실과 다를 수 있는 이유로 가장 알맞은 것은?</t>
        </is>
      </c>
    </row>
    <row r="20">
      <c r="A20" t="inlineStr">
        <is>
          <t>중2</t>
        </is>
      </c>
      <c r="B20" t="n">
        <v>2</v>
      </c>
      <c r="C20" t="inlineStr">
        <is>
          <t>M2-P2-01</t>
        </is>
      </c>
      <c r="D20" t="inlineStr">
        <is>
          <t>AI 이해</t>
        </is>
      </c>
      <c r="E20" t="inlineStr">
        <is>
          <t>A</t>
        </is>
      </c>
      <c r="F20" t="inlineStr">
        <is>
          <t>중2-P2-A1</t>
        </is>
      </c>
      <c r="G20" t="inlineStr">
        <is>
          <t>기초 기준문항</t>
        </is>
      </c>
      <c r="H20" t="inlineStr">
        <is>
          <t>AI가 결과를 만드는 방식에 대한 설명으로 가장 알맞은 것은?</t>
        </is>
      </c>
    </row>
    <row r="21">
      <c r="A21" t="inlineStr">
        <is>
          <t>중2</t>
        </is>
      </c>
      <c r="B21" t="n">
        <v>2</v>
      </c>
      <c r="C21" t="inlineStr">
        <is>
          <t>M2-P2-05</t>
        </is>
      </c>
      <c r="D21" t="inlineStr">
        <is>
          <t>결과 검토</t>
        </is>
      </c>
      <c r="E21" t="inlineStr">
        <is>
          <t>C</t>
        </is>
      </c>
      <c r="F21" t="inlineStr">
        <is>
          <t>중2-P2-A2</t>
        </is>
      </c>
      <c r="G21" t="inlineStr">
        <is>
          <t>비판적 판단 기준문항</t>
        </is>
      </c>
      <c r="H21" t="inlineStr">
        <is>
          <t>AI가 알려 준 정보가 의심될 때 가장 알맞은 행동은?</t>
        </is>
      </c>
    </row>
    <row r="22">
      <c r="A22" t="inlineStr">
        <is>
          <t>중3</t>
        </is>
      </c>
      <c r="B22" t="n">
        <v>1</v>
      </c>
      <c r="C22" t="inlineStr">
        <is>
          <t>M3-P1-01</t>
        </is>
      </c>
      <c r="D22" t="inlineStr">
        <is>
          <t>개인정보 보호</t>
        </is>
      </c>
      <c r="E22" t="inlineStr">
        <is>
          <t>A</t>
        </is>
      </c>
      <c r="F22" t="inlineStr">
        <is>
          <t>중3-P1-A1</t>
        </is>
      </c>
      <c r="G22" t="inlineStr">
        <is>
          <t>기초 기준문항</t>
        </is>
      </c>
      <c r="H22" t="inlineStr">
        <is>
          <t>공용 컴퓨터에서 이메일을 확인한 뒤 가장 바람직한 행동은?</t>
        </is>
      </c>
    </row>
    <row r="23">
      <c r="A23" t="inlineStr">
        <is>
          <t>중3</t>
        </is>
      </c>
      <c r="B23" t="n">
        <v>1</v>
      </c>
      <c r="C23" t="inlineStr">
        <is>
          <t>M3-P1-05</t>
        </is>
      </c>
      <c r="D23" t="inlineStr">
        <is>
          <t>정보 신뢰성</t>
        </is>
      </c>
      <c r="E23" t="inlineStr">
        <is>
          <t>C</t>
        </is>
      </c>
      <c r="F23" t="inlineStr">
        <is>
          <t>중3-P1-A2</t>
        </is>
      </c>
      <c r="G23" t="inlineStr">
        <is>
          <t>비판적 판단 기준문항</t>
        </is>
      </c>
      <c r="H23" t="inlineStr">
        <is>
          <t>온라인 정보를 판단할 때 함께 보면 좋은 요소로 가장 알맞은 것은?</t>
        </is>
      </c>
    </row>
    <row r="24">
      <c r="A24" t="inlineStr">
        <is>
          <t>중3</t>
        </is>
      </c>
      <c r="B24" t="n">
        <v>2</v>
      </c>
      <c r="C24" t="inlineStr">
        <is>
          <t>M3-P2-01</t>
        </is>
      </c>
      <c r="D24" t="inlineStr">
        <is>
          <t>AI 이해</t>
        </is>
      </c>
      <c r="E24" t="inlineStr">
        <is>
          <t>A</t>
        </is>
      </c>
      <c r="F24" t="inlineStr">
        <is>
          <t>중3-P2-A1</t>
        </is>
      </c>
      <c r="G24" t="inlineStr">
        <is>
          <t>기초 기준문항</t>
        </is>
      </c>
      <c r="H24" t="inlineStr">
        <is>
          <t>생성형 AI의 한계로 가장 알맞은 것은?</t>
        </is>
      </c>
    </row>
    <row r="25">
      <c r="A25" t="inlineStr">
        <is>
          <t>중3</t>
        </is>
      </c>
      <c r="B25" t="n">
        <v>2</v>
      </c>
      <c r="C25" t="inlineStr">
        <is>
          <t>M3-P2-05</t>
        </is>
      </c>
      <c r="D25" t="inlineStr">
        <is>
          <t>결과 검토</t>
        </is>
      </c>
      <c r="E25" t="inlineStr">
        <is>
          <t>C</t>
        </is>
      </c>
      <c r="F25" t="inlineStr">
        <is>
          <t>중3-P2-A2</t>
        </is>
      </c>
      <c r="G25" t="inlineStr">
        <is>
          <t>비판적 판단 기준문항</t>
        </is>
      </c>
      <c r="H25" t="inlineStr">
        <is>
          <t>AI가 제안한 진로 정보를 믿기 전에 해야 할 일로 가장 알맞은 것은?</t>
        </is>
      </c>
    </row>
    <row r="26">
      <c r="A26" t="inlineStr">
        <is>
          <t>고1</t>
        </is>
      </c>
      <c r="B26" t="n">
        <v>1</v>
      </c>
      <c r="C26" t="inlineStr">
        <is>
          <t>H1-P1-01</t>
        </is>
      </c>
      <c r="D26" t="inlineStr">
        <is>
          <t>개인정보 보호</t>
        </is>
      </c>
      <c r="E26" t="inlineStr">
        <is>
          <t>A</t>
        </is>
      </c>
      <c r="F26" t="inlineStr">
        <is>
          <t>고1-P1-A1</t>
        </is>
      </c>
      <c r="G26" t="inlineStr">
        <is>
          <t>기초 기준문항</t>
        </is>
      </c>
      <c r="H26" t="inlineStr">
        <is>
          <t>온라인 서비스 가입 시 개인정보를 최소한으로 제공해야 하는 이유로 가장 알맞은 것은?</t>
        </is>
      </c>
    </row>
    <row r="27">
      <c r="A27" t="inlineStr">
        <is>
          <t>고1</t>
        </is>
      </c>
      <c r="B27" t="n">
        <v>1</v>
      </c>
      <c r="C27" t="inlineStr">
        <is>
          <t>H1-P1-05</t>
        </is>
      </c>
      <c r="D27" t="inlineStr">
        <is>
          <t>정보 신뢰성</t>
        </is>
      </c>
      <c r="E27" t="inlineStr">
        <is>
          <t>C</t>
        </is>
      </c>
      <c r="F27" t="inlineStr">
        <is>
          <t>고1-P1-A2</t>
        </is>
      </c>
      <c r="G27" t="inlineStr">
        <is>
          <t>비판적 판단 기준문항</t>
        </is>
      </c>
      <c r="H27" t="inlineStr">
        <is>
          <t>온라인 자료의 신뢰성을 판단할 때 우선적으로 살펴볼 요소는?</t>
        </is>
      </c>
    </row>
    <row r="28">
      <c r="A28" t="inlineStr">
        <is>
          <t>고1</t>
        </is>
      </c>
      <c r="B28" t="n">
        <v>2</v>
      </c>
      <c r="C28" t="inlineStr">
        <is>
          <t>H1-P2-01</t>
        </is>
      </c>
      <c r="D28" t="inlineStr">
        <is>
          <t>AI 이해</t>
        </is>
      </c>
      <c r="E28" t="inlineStr">
        <is>
          <t>A</t>
        </is>
      </c>
      <c r="F28" t="inlineStr">
        <is>
          <t>고1-P2-A1</t>
        </is>
      </c>
      <c r="G28" t="inlineStr">
        <is>
          <t>기초 기준문항</t>
        </is>
      </c>
      <c r="H28" t="inlineStr">
        <is>
          <t>생성형 AI에 대한 설명으로 가장 알맞은 것은?</t>
        </is>
      </c>
    </row>
    <row r="29">
      <c r="A29" t="inlineStr">
        <is>
          <t>고1</t>
        </is>
      </c>
      <c r="B29" t="n">
        <v>2</v>
      </c>
      <c r="C29" t="inlineStr">
        <is>
          <t>H1-P2-05</t>
        </is>
      </c>
      <c r="D29" t="inlineStr">
        <is>
          <t>결과 검토</t>
        </is>
      </c>
      <c r="E29" t="inlineStr">
        <is>
          <t>C</t>
        </is>
      </c>
      <c r="F29" t="inlineStr">
        <is>
          <t>고1-P2-A2</t>
        </is>
      </c>
      <c r="G29" t="inlineStr">
        <is>
          <t>비판적 판단 기준문항</t>
        </is>
      </c>
      <c r="H29" t="inlineStr">
        <is>
          <t>AI가 요약한 내용을 활용하기 전에 가장 먼저 할 일은?</t>
        </is>
      </c>
    </row>
    <row r="30">
      <c r="A30" t="inlineStr">
        <is>
          <t>고2</t>
        </is>
      </c>
      <c r="B30" t="n">
        <v>1</v>
      </c>
      <c r="C30" t="inlineStr">
        <is>
          <t>H2-P1-01</t>
        </is>
      </c>
      <c r="D30" t="inlineStr">
        <is>
          <t>개인정보 보호</t>
        </is>
      </c>
      <c r="E30" t="inlineStr">
        <is>
          <t>A</t>
        </is>
      </c>
      <c r="F30" t="inlineStr">
        <is>
          <t>고2-P1-A1</t>
        </is>
      </c>
      <c r="G30" t="inlineStr">
        <is>
          <t>기초 기준문항</t>
        </is>
      </c>
      <c r="H30" t="inlineStr">
        <is>
          <t>클라우드 서비스를 사용할 때 개인정보 관리와 관련해 가장 바람직한 태도는?</t>
        </is>
      </c>
    </row>
    <row r="31">
      <c r="A31" t="inlineStr">
        <is>
          <t>고2</t>
        </is>
      </c>
      <c r="B31" t="n">
        <v>1</v>
      </c>
      <c r="C31" t="inlineStr">
        <is>
          <t>H2-P1-05</t>
        </is>
      </c>
      <c r="D31" t="inlineStr">
        <is>
          <t>정보 신뢰성</t>
        </is>
      </c>
      <c r="E31" t="inlineStr">
        <is>
          <t>C</t>
        </is>
      </c>
      <c r="F31" t="inlineStr">
        <is>
          <t>고2-P1-A2</t>
        </is>
      </c>
      <c r="G31" t="inlineStr">
        <is>
          <t>비판적 판단 기준문항</t>
        </is>
      </c>
      <c r="H31" t="inlineStr">
        <is>
          <t>근거 수준이 다른 자료를 비교할 때 더 신뢰할 가능성이 높은 것은?</t>
        </is>
      </c>
    </row>
    <row r="32">
      <c r="A32" t="inlineStr">
        <is>
          <t>고2</t>
        </is>
      </c>
      <c r="B32" t="n">
        <v>2</v>
      </c>
      <c r="C32" t="inlineStr">
        <is>
          <t>H2-P2-01</t>
        </is>
      </c>
      <c r="D32" t="inlineStr">
        <is>
          <t>AI 이해</t>
        </is>
      </c>
      <c r="E32" t="inlineStr">
        <is>
          <t>A</t>
        </is>
      </c>
      <c r="F32" t="inlineStr">
        <is>
          <t>고2-P2-A1</t>
        </is>
      </c>
      <c r="G32" t="inlineStr">
        <is>
          <t>기초 기준문항</t>
        </is>
      </c>
      <c r="H32" t="inlineStr">
        <is>
          <t>생성형 AI 결과가 확률적이라는 말의 의미로 가장 알맞은 것은?</t>
        </is>
      </c>
    </row>
    <row r="33">
      <c r="A33" t="inlineStr">
        <is>
          <t>고2</t>
        </is>
      </c>
      <c r="B33" t="n">
        <v>2</v>
      </c>
      <c r="C33" t="inlineStr">
        <is>
          <t>H2-P2-05</t>
        </is>
      </c>
      <c r="D33" t="inlineStr">
        <is>
          <t>결과 검토</t>
        </is>
      </c>
      <c r="E33" t="inlineStr">
        <is>
          <t>C</t>
        </is>
      </c>
      <c r="F33" t="inlineStr">
        <is>
          <t>고2-P2-A2</t>
        </is>
      </c>
      <c r="G33" t="inlineStr">
        <is>
          <t>비판적 판단 기준문항</t>
        </is>
      </c>
      <c r="H33" t="inlineStr">
        <is>
          <t>AI가 제시한 근거가 약해 보일 때 가장 적절한 행동은?</t>
        </is>
      </c>
    </row>
    <row r="34">
      <c r="A34" t="inlineStr">
        <is>
          <t>고3</t>
        </is>
      </c>
      <c r="B34" t="n">
        <v>1</v>
      </c>
      <c r="C34" t="inlineStr">
        <is>
          <t>H3-P1-01</t>
        </is>
      </c>
      <c r="D34" t="inlineStr">
        <is>
          <t>개인정보 보호</t>
        </is>
      </c>
      <c r="E34" t="inlineStr">
        <is>
          <t>A</t>
        </is>
      </c>
      <c r="F34" t="inlineStr">
        <is>
          <t>고3-P1-A1</t>
        </is>
      </c>
      <c r="G34" t="inlineStr">
        <is>
          <t>기초 기준문항</t>
        </is>
      </c>
      <c r="H34" t="inlineStr">
        <is>
          <t>진학·취업 준비 과정에서 개인정보를 다룰 때 가장 바람직한 태도는?</t>
        </is>
      </c>
    </row>
    <row r="35">
      <c r="A35" t="inlineStr">
        <is>
          <t>고3</t>
        </is>
      </c>
      <c r="B35" t="n">
        <v>1</v>
      </c>
      <c r="C35" t="inlineStr">
        <is>
          <t>H3-P1-05</t>
        </is>
      </c>
      <c r="D35" t="inlineStr">
        <is>
          <t>정보 신뢰성</t>
        </is>
      </c>
      <c r="E35" t="inlineStr">
        <is>
          <t>C</t>
        </is>
      </c>
      <c r="F35" t="inlineStr">
        <is>
          <t>고3-P1-A2</t>
        </is>
      </c>
      <c r="G35" t="inlineStr">
        <is>
          <t>비판적 판단 기준문항</t>
        </is>
      </c>
      <c r="H35" t="inlineStr">
        <is>
          <t>사회·진로 정보를 판단할 때 중요한 기준으로 가장 알맞은 것은?</t>
        </is>
      </c>
    </row>
    <row r="36">
      <c r="A36" t="inlineStr">
        <is>
          <t>고3</t>
        </is>
      </c>
      <c r="B36" t="n">
        <v>2</v>
      </c>
      <c r="C36" t="inlineStr">
        <is>
          <t>H3-P2-01</t>
        </is>
      </c>
      <c r="D36" t="inlineStr">
        <is>
          <t>AI 이해</t>
        </is>
      </c>
      <c r="E36" t="inlineStr">
        <is>
          <t>A</t>
        </is>
      </c>
      <c r="F36" t="inlineStr">
        <is>
          <t>고3-P2-A1</t>
        </is>
      </c>
      <c r="G36" t="inlineStr">
        <is>
          <t>기초 기준문항</t>
        </is>
      </c>
      <c r="H36" t="inlineStr">
        <is>
          <t>생성형 AI의 장점과 한계를 동시에 이해한 설명으로 가장 알맞은 것은?</t>
        </is>
      </c>
    </row>
    <row r="37">
      <c r="A37" t="inlineStr">
        <is>
          <t>고3</t>
        </is>
      </c>
      <c r="B37" t="n">
        <v>2</v>
      </c>
      <c r="C37" t="inlineStr">
        <is>
          <t>H3-P2-05</t>
        </is>
      </c>
      <c r="D37" t="inlineStr">
        <is>
          <t>결과 검토</t>
        </is>
      </c>
      <c r="E37" t="inlineStr">
        <is>
          <t>C</t>
        </is>
      </c>
      <c r="F37" t="inlineStr">
        <is>
          <t>고3-P2-A2</t>
        </is>
      </c>
      <c r="G37" t="inlineStr">
        <is>
          <t>비판적 판단 기준문항</t>
        </is>
      </c>
      <c r="H37" t="inlineStr">
        <is>
          <t>AI가 정리한 대학 전공 정보를 검토할 때 가장 적절한 행동은?</t>
        </is>
      </c>
    </row>
  </sheetData>
  <autoFilter ref="A1:H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3" t="inlineStr">
        <is>
          <t>항목</t>
        </is>
      </c>
      <c r="B1" s="13" t="inlineStr">
        <is>
          <t>내용</t>
        </is>
      </c>
    </row>
    <row r="2">
      <c r="A2" t="inlineStr">
        <is>
          <t>정답 위치 균등화</t>
        </is>
      </c>
      <c r="B2" s="6" t="inlineStr">
        <is>
          <t>학년·문항풀별 10문항 기준으로 정답 위치 1~4번이 고르게 분산되도록 재배치했습니다.</t>
        </is>
      </c>
    </row>
    <row r="3">
      <c r="A3" t="inlineStr">
        <is>
          <t>난이도 기준</t>
        </is>
      </c>
      <c r="B3" s="6" t="inlineStr">
        <is>
          <t>A=기초 행동 판단, B=비교·검토 중심, C=비판적 판단·윤리·장기영향 중심으로 내부 태깅했습니다.</t>
        </is>
      </c>
    </row>
    <row r="4">
      <c r="A4" t="inlineStr">
        <is>
          <t>anchor 지정 원칙</t>
        </is>
      </c>
      <c r="B4" s="6" t="inlineStr">
        <is>
          <t>학년·문항풀별 item 01(기초 기준문항), item 05(비판적 판단 기준문항)을 anchor로 지정했습니다.</t>
        </is>
      </c>
    </row>
    <row r="5">
      <c r="A5" t="inlineStr">
        <is>
          <t>활용 권장</t>
        </is>
      </c>
      <c r="B5" s="6" t="inlineStr">
        <is>
          <t>학교 비교 시에는 단순 정답률보다 영역지수와 anchor 문항 결과를 함께 해석하는 방식을 권장합니다.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0" customWidth="1" min="4" max="4"/>
    <col width="10" customWidth="1" min="5" max="5"/>
    <col width="10" customWidth="1" min="6" max="6"/>
    <col width="14" customWidth="1" min="7" max="7"/>
    <col width="16" customWidth="1" min="8" max="8"/>
    <col width="10" customWidth="1" min="9" max="9"/>
    <col width="8" customWidth="1" min="10" max="10"/>
    <col width="9" customWidth="1" min="11" max="11"/>
    <col width="8" customWidth="1" min="12" max="12"/>
    <col width="14" customWidth="1" min="13" max="13"/>
    <col width="12" customWidth="1" min="14" max="14"/>
    <col width="10" customWidth="1" min="15" max="15"/>
    <col width="10" customWidth="1" min="16" max="16"/>
    <col width="14" customWidth="1" min="17" max="17"/>
    <col width="10" customWidth="1" min="18" max="18"/>
    <col width="20" customWidth="1" min="19" max="19"/>
    <col width="10" customWidth="1" min="20" max="20"/>
    <col width="10" customWidth="1" min="21" max="21"/>
    <col width="12" customWidth="1" min="22" max="22"/>
    <col width="28" customWidth="1" min="23" max="23"/>
  </cols>
  <sheetData>
    <row r="1">
      <c r="A1" s="1" t="inlineStr">
        <is>
          <t>response_id</t>
        </is>
      </c>
      <c r="B1" s="1" t="inlineStr">
        <is>
          <t>school_id</t>
        </is>
      </c>
      <c r="C1" s="1" t="inlineStr">
        <is>
          <t>school_name</t>
        </is>
      </c>
      <c r="D1" s="1" t="inlineStr">
        <is>
          <t>teacher_id</t>
        </is>
      </c>
      <c r="E1" s="1" t="inlineStr">
        <is>
          <t>teacher_name</t>
        </is>
      </c>
      <c r="F1" s="1" t="inlineStr">
        <is>
          <t>class_id</t>
        </is>
      </c>
      <c r="G1" s="1" t="inlineStr">
        <is>
          <t>class_name</t>
        </is>
      </c>
      <c r="H1" s="1" t="inlineStr">
        <is>
          <t>student_id_hash</t>
        </is>
      </c>
      <c r="I1" s="1" t="inlineStr">
        <is>
          <t>school_level</t>
        </is>
      </c>
      <c r="J1" s="1" t="inlineStr">
        <is>
          <t>grade</t>
        </is>
      </c>
      <c r="K1" s="1" t="inlineStr">
        <is>
          <t>lesson_no</t>
        </is>
      </c>
      <c r="L1" s="1" t="inlineStr">
        <is>
          <t>pool_no</t>
        </is>
      </c>
      <c r="M1" s="1" t="inlineStr">
        <is>
          <t>item_id</t>
        </is>
      </c>
      <c r="N1" s="1" t="inlineStr">
        <is>
          <t>domain_code</t>
        </is>
      </c>
      <c r="O1" s="1" t="inlineStr">
        <is>
          <t>is_correct</t>
        </is>
      </c>
      <c r="P1" s="1" t="inlineStr">
        <is>
          <t>raw_score</t>
        </is>
      </c>
      <c r="Q1" s="1" t="inlineStr">
        <is>
          <t>response_time_sec</t>
        </is>
      </c>
      <c r="R1" s="1" t="inlineStr">
        <is>
          <t>device_type</t>
        </is>
      </c>
      <c r="S1" s="1" t="inlineStr">
        <is>
          <t>submitted_at</t>
        </is>
      </c>
      <c r="T1" s="1" t="inlineStr">
        <is>
          <t>anchor_flag</t>
        </is>
      </c>
      <c r="U1" s="1" t="inlineStr">
        <is>
          <t>abnormal_flag</t>
        </is>
      </c>
      <c r="V1" s="1" t="inlineStr">
        <is>
          <t>no_response_flag</t>
        </is>
      </c>
      <c r="W1" s="1" t="inlineStr">
        <is>
          <t>notes</t>
        </is>
      </c>
    </row>
    <row r="2">
      <c r="A2" t="inlineStr">
        <is>
          <t>RSP-0001</t>
        </is>
      </c>
      <c r="B2" t="inlineStr">
        <is>
          <t>SCH-001</t>
        </is>
      </c>
      <c r="C2" t="inlineStr">
        <is>
          <t>서울가온초등학교</t>
        </is>
      </c>
      <c r="D2" t="inlineStr">
        <is>
          <t>T-001</t>
        </is>
      </c>
      <c r="E2" t="inlineStr">
        <is>
          <t>김OO</t>
        </is>
      </c>
      <c r="F2" t="inlineStr">
        <is>
          <t>C-401</t>
        </is>
      </c>
      <c r="G2" t="inlineStr">
        <is>
          <t>4학년 1반</t>
        </is>
      </c>
      <c r="H2" t="inlineStr">
        <is>
          <t>hash001</t>
        </is>
      </c>
      <c r="I2" t="inlineStr">
        <is>
          <t>초등</t>
        </is>
      </c>
      <c r="J2" t="inlineStr">
        <is>
          <t>초4</t>
        </is>
      </c>
      <c r="K2" t="n">
        <v>1</v>
      </c>
      <c r="L2" t="n">
        <v>1</v>
      </c>
      <c r="M2" t="inlineStr">
        <is>
          <t>E4-P1-01</t>
        </is>
      </c>
      <c r="N2" t="inlineStr">
        <is>
          <t>PRIV</t>
        </is>
      </c>
      <c r="O2" t="n">
        <v>1</v>
      </c>
      <c r="P2" t="n">
        <v>100</v>
      </c>
      <c r="Q2" t="n">
        <v>28</v>
      </c>
      <c r="R2" t="inlineStr">
        <is>
          <t>Tablet</t>
        </is>
      </c>
      <c r="S2" t="inlineStr">
        <is>
          <t>2026-03-16 10:39:41</t>
        </is>
      </c>
      <c r="T2" t="inlineStr">
        <is>
          <t>Y</t>
        </is>
      </c>
      <c r="U2" t="n">
        <v>0</v>
      </c>
      <c r="V2" t="n">
        <v>0</v>
      </c>
      <c r="W2" t="inlineStr">
        <is>
          <t>정상 제출</t>
        </is>
      </c>
    </row>
    <row r="3">
      <c r="A3" t="inlineStr">
        <is>
          <t>RSP-0002</t>
        </is>
      </c>
      <c r="B3" t="inlineStr">
        <is>
          <t>SCH-001</t>
        </is>
      </c>
      <c r="C3" t="inlineStr">
        <is>
          <t>서울가온초등학교</t>
        </is>
      </c>
      <c r="D3" t="inlineStr">
        <is>
          <t>T-001</t>
        </is>
      </c>
      <c r="E3" t="inlineStr">
        <is>
          <t>김OO</t>
        </is>
      </c>
      <c r="F3" t="inlineStr">
        <is>
          <t>C-401</t>
        </is>
      </c>
      <c r="G3" t="inlineStr">
        <is>
          <t>4학년 1반</t>
        </is>
      </c>
      <c r="H3" t="inlineStr">
        <is>
          <t>hash002</t>
        </is>
      </c>
      <c r="I3" t="inlineStr">
        <is>
          <t>초등</t>
        </is>
      </c>
      <c r="J3" t="inlineStr">
        <is>
          <t>초4</t>
        </is>
      </c>
      <c r="K3" t="n">
        <v>1</v>
      </c>
      <c r="L3" t="n">
        <v>1</v>
      </c>
      <c r="M3" t="inlineStr">
        <is>
          <t>E4-P1-05</t>
        </is>
      </c>
      <c r="N3" t="inlineStr">
        <is>
          <t>INFO</t>
        </is>
      </c>
      <c r="O3" t="n">
        <v>0</v>
      </c>
      <c r="P3" t="n">
        <v>0</v>
      </c>
      <c r="Q3" t="n">
        <v>34</v>
      </c>
      <c r="R3" t="inlineStr">
        <is>
          <t>Tablet</t>
        </is>
      </c>
      <c r="S3" t="inlineStr">
        <is>
          <t>2026-03-16 10:39:52</t>
        </is>
      </c>
      <c r="T3" t="inlineStr">
        <is>
          <t>Y</t>
        </is>
      </c>
      <c r="U3" t="n">
        <v>0</v>
      </c>
      <c r="V3" t="n">
        <v>0</v>
      </c>
      <c r="W3" t="inlineStr">
        <is>
          <t>오답</t>
        </is>
      </c>
    </row>
    <row r="4">
      <c r="A4" t="inlineStr">
        <is>
          <t>RSP-0101</t>
        </is>
      </c>
      <c r="B4" t="inlineStr">
        <is>
          <t>SCH-015</t>
        </is>
      </c>
      <c r="C4" t="inlineStr">
        <is>
          <t>수원한빛고등학교</t>
        </is>
      </c>
      <c r="D4" t="inlineStr">
        <is>
          <t>T-115</t>
        </is>
      </c>
      <c r="E4" t="inlineStr">
        <is>
          <t>박OO</t>
        </is>
      </c>
      <c r="F4" t="inlineStr">
        <is>
          <t>C-H201</t>
        </is>
      </c>
      <c r="G4" t="inlineStr">
        <is>
          <t>2학년 1반</t>
        </is>
      </c>
      <c r="H4" t="inlineStr">
        <is>
          <t>hash101</t>
        </is>
      </c>
      <c r="I4" t="inlineStr">
        <is>
          <t>고등</t>
        </is>
      </c>
      <c r="J4" t="inlineStr">
        <is>
          <t>고2</t>
        </is>
      </c>
      <c r="K4" t="n">
        <v>2</v>
      </c>
      <c r="L4" t="n">
        <v>2</v>
      </c>
      <c r="M4" t="inlineStr">
        <is>
          <t>H2-P2-05</t>
        </is>
      </c>
      <c r="N4" t="inlineStr">
        <is>
          <t>AIC</t>
        </is>
      </c>
      <c r="O4" t="n">
        <v>1</v>
      </c>
      <c r="P4" t="n">
        <v>100</v>
      </c>
      <c r="Q4" t="n">
        <v>46</v>
      </c>
      <c r="R4" t="inlineStr">
        <is>
          <t>PC</t>
        </is>
      </c>
      <c r="S4" t="inlineStr">
        <is>
          <t>2026-03-18 14:24:05</t>
        </is>
      </c>
      <c r="T4" t="inlineStr">
        <is>
          <t>Y</t>
        </is>
      </c>
      <c r="U4" t="n">
        <v>0</v>
      </c>
      <c r="V4" t="n">
        <v>0</v>
      </c>
      <c r="W4" t="inlineStr">
        <is>
          <t>정상 제출</t>
        </is>
      </c>
    </row>
  </sheetData>
  <autoFilter ref="A1:W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28" customWidth="1" min="4" max="4"/>
    <col width="26" customWidth="1" min="5" max="5"/>
    <col width="26" customWidth="1" min="6" max="6"/>
    <col width="18" customWidth="1" min="7" max="7"/>
    <col width="30" customWidth="1" min="8" max="8"/>
  </cols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집계수준</t>
        </is>
      </c>
      <c r="D1" s="1" t="inlineStr">
        <is>
          <t>정의</t>
        </is>
      </c>
      <c r="E1" s="1" t="inlineStr">
        <is>
          <t>계산식(개념)</t>
        </is>
      </c>
      <c r="F1" s="1" t="inlineStr">
        <is>
          <t>필요 원천필드</t>
        </is>
      </c>
      <c r="G1" s="1" t="inlineStr">
        <is>
          <t>권장 시각화</t>
        </is>
      </c>
      <c r="H1" s="1" t="inlineStr">
        <is>
          <t>해석 포인트</t>
        </is>
      </c>
    </row>
    <row r="2">
      <c r="A2" s="6" t="inlineStr">
        <is>
          <t>M001</t>
        </is>
      </c>
      <c r="B2" s="6" t="inlineStr">
        <is>
          <t>참여대상수</t>
        </is>
      </c>
      <c r="C2" s="6" t="inlineStr">
        <is>
          <t>학급/학년/학교</t>
        </is>
      </c>
      <c r="D2" s="6" t="inlineStr">
        <is>
          <t>평가 대상 학생 수</t>
        </is>
      </c>
      <c r="E2" s="6" t="inlineStr">
        <is>
          <t>명부 기준 대상자 수</t>
        </is>
      </c>
      <c r="F2" s="6" t="inlineStr">
        <is>
          <t>student roster, class_id, grade</t>
        </is>
      </c>
      <c r="G2" s="6" t="inlineStr">
        <is>
          <t>KPI 카드</t>
        </is>
      </c>
      <c r="H2" s="6" t="inlineStr">
        <is>
          <t>실제 평가 운영 규모 확인</t>
        </is>
      </c>
    </row>
    <row r="3">
      <c r="A3" s="6" t="inlineStr">
        <is>
          <t>M002</t>
        </is>
      </c>
      <c r="B3" s="6" t="inlineStr">
        <is>
          <t>응답자수</t>
        </is>
      </c>
      <c r="C3" s="6" t="inlineStr">
        <is>
          <t>학급/학년/학교</t>
        </is>
      </c>
      <c r="D3" s="6" t="inlineStr">
        <is>
          <t>응답을 제출한 학생 수</t>
        </is>
      </c>
      <c r="E3" s="6" t="inlineStr">
        <is>
          <t>COUNT(response_id)</t>
        </is>
      </c>
      <c r="F3" s="6" t="inlineStr">
        <is>
          <t>response_id</t>
        </is>
      </c>
      <c r="G3" s="6" t="inlineStr">
        <is>
          <t>KPI 카드</t>
        </is>
      </c>
      <c r="H3" s="6" t="inlineStr">
        <is>
          <t>참여 현황 파악</t>
        </is>
      </c>
    </row>
    <row r="4">
      <c r="A4" s="6" t="inlineStr">
        <is>
          <t>M003</t>
        </is>
      </c>
      <c r="B4" s="6" t="inlineStr">
        <is>
          <t>참여율</t>
        </is>
      </c>
      <c r="C4" s="6" t="inlineStr">
        <is>
          <t>학급/학년/학교</t>
        </is>
      </c>
      <c r="D4" s="6" t="inlineStr">
        <is>
          <t>응답자 비율</t>
        </is>
      </c>
      <c r="E4" s="6">
        <f>응답자수/참여대상수</f>
        <v/>
      </c>
      <c r="F4" s="6" t="inlineStr">
        <is>
          <t>response_id, roster</t>
        </is>
      </c>
      <c r="G4" s="6" t="inlineStr">
        <is>
          <t>KPI 카드/막대</t>
        </is>
      </c>
      <c r="H4" s="6" t="inlineStr">
        <is>
          <t>80% 미만이면 운영 점검 필요</t>
        </is>
      </c>
    </row>
    <row r="5">
      <c r="A5" s="6" t="inlineStr">
        <is>
          <t>M004</t>
        </is>
      </c>
      <c r="B5" s="6" t="inlineStr">
        <is>
          <t>무응답률</t>
        </is>
      </c>
      <c r="C5" s="6" t="inlineStr">
        <is>
          <t>학급/학년/학교</t>
        </is>
      </c>
      <c r="D5" s="6" t="inlineStr">
        <is>
          <t>응답하지 않은 비율</t>
        </is>
      </c>
      <c r="E5" s="6">
        <f>무응답자수/참여대상수</f>
        <v/>
      </c>
      <c r="F5" s="6" t="inlineStr">
        <is>
          <t>no_response_flag</t>
        </is>
      </c>
      <c r="G5" s="6" t="inlineStr">
        <is>
          <t>KPI 카드</t>
        </is>
      </c>
      <c r="H5" s="6" t="inlineStr">
        <is>
          <t>기기·접속·안내 문제 탐지</t>
        </is>
      </c>
    </row>
    <row r="6">
      <c r="A6" s="6" t="inlineStr">
        <is>
          <t>M005</t>
        </is>
      </c>
      <c r="B6" s="6" t="inlineStr">
        <is>
          <t>평균응답시간</t>
        </is>
      </c>
      <c r="C6" s="6" t="inlineStr">
        <is>
          <t>학급/학년/학교</t>
        </is>
      </c>
      <c r="D6" s="6" t="inlineStr">
        <is>
          <t>문항 응답 평균 소요시간</t>
        </is>
      </c>
      <c r="E6" s="6">
        <f>AVERAGE(response_time_sec)</f>
        <v/>
      </c>
      <c r="F6" s="6" t="inlineStr">
        <is>
          <t>response_time_sec</t>
        </is>
      </c>
      <c r="G6" s="6" t="inlineStr">
        <is>
          <t>KPI 카드/박스플롯</t>
        </is>
      </c>
      <c r="H6" s="6" t="inlineStr">
        <is>
          <t>지나치게 짧으면 무성의 응답 가능성</t>
        </is>
      </c>
    </row>
    <row r="7">
      <c r="A7" s="6" t="inlineStr">
        <is>
          <t>M006</t>
        </is>
      </c>
      <c r="B7" s="6" t="inlineStr">
        <is>
          <t>정답률</t>
        </is>
      </c>
      <c r="C7" s="6" t="inlineStr">
        <is>
          <t>문항/학급/학년/학교</t>
        </is>
      </c>
      <c r="D7" s="6" t="inlineStr">
        <is>
          <t>객관식 정답 비율</t>
        </is>
      </c>
      <c r="E7" s="6">
        <f>SUM(is_correct)/응답자수</f>
        <v/>
      </c>
      <c r="F7" s="6" t="inlineStr">
        <is>
          <t>is_correct</t>
        </is>
      </c>
      <c r="G7" s="6" t="inlineStr">
        <is>
          <t>막대/히트맵</t>
        </is>
      </c>
      <c r="H7" s="6" t="inlineStr">
        <is>
          <t>문항 난이도 및 학습 수준 파악</t>
        </is>
      </c>
    </row>
    <row r="8">
      <c r="A8" s="6" t="inlineStr">
        <is>
          <t>M007</t>
        </is>
      </c>
      <c r="B8" s="6" t="inlineStr">
        <is>
          <t>오답선택분포</t>
        </is>
      </c>
      <c r="C8" s="6" t="inlineStr">
        <is>
          <t>문항</t>
        </is>
      </c>
      <c r="D8" s="6" t="inlineStr">
        <is>
          <t>보기별 선택 비율</t>
        </is>
      </c>
      <c r="E8" s="6" t="inlineStr">
        <is>
          <t>보기 선택자수/응답자수</t>
        </is>
      </c>
      <c r="F8" s="6" t="inlineStr">
        <is>
          <t>response_value(or raw option), item_id</t>
        </is>
      </c>
      <c r="G8" s="6" t="inlineStr">
        <is>
          <t>누적막대</t>
        </is>
      </c>
      <c r="H8" s="6" t="inlineStr">
        <is>
          <t>오개념 유형 파악</t>
        </is>
      </c>
    </row>
    <row r="9">
      <c r="A9" s="6" t="inlineStr">
        <is>
          <t>M008</t>
        </is>
      </c>
      <c r="B9" s="6" t="inlineStr">
        <is>
          <t>개인정보보호지수</t>
        </is>
      </c>
      <c r="C9" s="6" t="inlineStr">
        <is>
          <t>학급/학년/학교</t>
        </is>
      </c>
      <c r="D9" s="6" t="inlineStr">
        <is>
          <t>PRIV 문항 평균 점수</t>
        </is>
      </c>
      <c r="E9" s="6">
        <f>AVERAGEIFS(raw_score, domain_code,"PRIV")</f>
        <v/>
      </c>
      <c r="F9" s="6" t="inlineStr">
        <is>
          <t>raw_score, domain_code</t>
        </is>
      </c>
      <c r="G9" s="6" t="inlineStr">
        <is>
          <t>막대/레이더</t>
        </is>
      </c>
      <c r="H9" s="6" t="inlineStr">
        <is>
          <t>개인정보 인식 수준</t>
        </is>
      </c>
    </row>
    <row r="10">
      <c r="A10" s="6" t="inlineStr">
        <is>
          <t>M009</t>
        </is>
      </c>
      <c r="B10" s="6" t="inlineStr">
        <is>
          <t>계정보안지수</t>
        </is>
      </c>
      <c r="C10" s="6" t="inlineStr">
        <is>
          <t>학급/학년/학교</t>
        </is>
      </c>
      <c r="D10" s="6" t="inlineStr">
        <is>
          <t>SAFE_ACC 문항 평균 점수</t>
        </is>
      </c>
      <c r="E10" s="6">
        <f>AVERAGEIFS(raw_score, domain_code,"SAFE_ACC")</f>
        <v/>
      </c>
      <c r="F10" s="6" t="inlineStr">
        <is>
          <t>raw_score, domain_code</t>
        </is>
      </c>
      <c r="G10" s="6" t="inlineStr">
        <is>
          <t>막대/레이더</t>
        </is>
      </c>
      <c r="H10" s="6" t="inlineStr">
        <is>
          <t>계정 관리 역량</t>
        </is>
      </c>
    </row>
    <row r="11">
      <c r="A11" s="6" t="inlineStr">
        <is>
          <t>M010</t>
        </is>
      </c>
      <c r="B11" s="6" t="inlineStr">
        <is>
          <t>정보신뢰성지수</t>
        </is>
      </c>
      <c r="C11" s="6" t="inlineStr">
        <is>
          <t>학급/학년/학교</t>
        </is>
      </c>
      <c r="D11" s="6" t="inlineStr">
        <is>
          <t>INFO 문항 평균 점수</t>
        </is>
      </c>
      <c r="E11" s="6">
        <f>AVERAGEIFS(raw_score, domain_code,"INFO")</f>
        <v/>
      </c>
      <c r="F11" s="6" t="inlineStr">
        <is>
          <t>raw_score, domain_code</t>
        </is>
      </c>
      <c r="G11" s="6" t="inlineStr">
        <is>
          <t>막대/레이더</t>
        </is>
      </c>
      <c r="H11" s="6" t="inlineStr">
        <is>
          <t>정보 검증 역량</t>
        </is>
      </c>
    </row>
    <row r="12">
      <c r="A12" s="6" t="inlineStr">
        <is>
          <t>M011</t>
        </is>
      </c>
      <c r="B12" s="6" t="inlineStr">
        <is>
          <t>디지털시민성지수</t>
        </is>
      </c>
      <c r="C12" s="6" t="inlineStr">
        <is>
          <t>학급/학년/학교</t>
        </is>
      </c>
      <c r="D12" s="6" t="inlineStr">
        <is>
          <t>NET_ETI + NET_CIT 평균</t>
        </is>
      </c>
      <c r="E12" s="6">
        <f>AVERAGEIFS(raw_score, domain_code, NET_*)</f>
        <v/>
      </c>
      <c r="F12" s="6" t="inlineStr">
        <is>
          <t>raw_score, domain_code</t>
        </is>
      </c>
      <c r="G12" s="6" t="inlineStr">
        <is>
          <t>막대/레이더</t>
        </is>
      </c>
      <c r="H12" s="6" t="inlineStr">
        <is>
          <t>배려와 책임감 수준</t>
        </is>
      </c>
    </row>
    <row r="13">
      <c r="A13" s="6" t="inlineStr">
        <is>
          <t>M012</t>
        </is>
      </c>
      <c r="B13" s="6" t="inlineStr">
        <is>
          <t>디지털안전지수</t>
        </is>
      </c>
      <c r="C13" s="6" t="inlineStr">
        <is>
          <t>학급/학년/학교</t>
        </is>
      </c>
      <c r="D13" s="6" t="inlineStr">
        <is>
          <t>SAFE 문항 평균 점수</t>
        </is>
      </c>
      <c r="E13" s="6">
        <f>AVERAGEIFS(raw_score, domain_code,"SAFE")</f>
        <v/>
      </c>
      <c r="F13" s="6" t="inlineStr">
        <is>
          <t>raw_score, domain_code</t>
        </is>
      </c>
      <c r="G13" s="6" t="inlineStr">
        <is>
          <t>막대/레이더</t>
        </is>
      </c>
      <c r="H13" s="6" t="inlineStr">
        <is>
          <t>피싱·위험 대응 역량</t>
        </is>
      </c>
    </row>
    <row r="14">
      <c r="A14" s="6" t="inlineStr">
        <is>
          <t>M013</t>
        </is>
      </c>
      <c r="B14" s="6" t="inlineStr">
        <is>
          <t>AI이해지수</t>
        </is>
      </c>
      <c r="C14" s="6" t="inlineStr">
        <is>
          <t>학급/학년/학교</t>
        </is>
      </c>
      <c r="D14" s="6" t="inlineStr">
        <is>
          <t>AIU 문항 평균 점수</t>
        </is>
      </c>
      <c r="E14" s="6">
        <f>AVERAGEIFS(raw_score, domain_code,"AIU")</f>
        <v/>
      </c>
      <c r="F14" s="6" t="inlineStr">
        <is>
          <t>raw_score, domain_code</t>
        </is>
      </c>
      <c r="G14" s="6" t="inlineStr">
        <is>
          <t>막대/레이더</t>
        </is>
      </c>
      <c r="H14" s="6" t="inlineStr">
        <is>
          <t>AI 기본 개념 이해</t>
        </is>
      </c>
    </row>
    <row r="15">
      <c r="A15" s="6" t="inlineStr">
        <is>
          <t>M014</t>
        </is>
      </c>
      <c r="B15" s="6" t="inlineStr">
        <is>
          <t>AI비판적활용지수</t>
        </is>
      </c>
      <c r="C15" s="6" t="inlineStr">
        <is>
          <t>학급/학년/학교</t>
        </is>
      </c>
      <c r="D15" s="6" t="inlineStr">
        <is>
          <t>AIA + AIC 평균</t>
        </is>
      </c>
      <c r="E15" s="6">
        <f>AVERAGEIFS(raw_score, domain_code, AIA/AIC)</f>
        <v/>
      </c>
      <c r="F15" s="6" t="inlineStr">
        <is>
          <t>raw_score, domain_code</t>
        </is>
      </c>
      <c r="G15" s="6" t="inlineStr">
        <is>
          <t>막대/레이더</t>
        </is>
      </c>
      <c r="H15" s="6" t="inlineStr">
        <is>
          <t>AI 결과 검토 태도</t>
        </is>
      </c>
    </row>
    <row r="16">
      <c r="A16" s="6" t="inlineStr">
        <is>
          <t>M015</t>
        </is>
      </c>
      <c r="B16" s="6" t="inlineStr">
        <is>
          <t>문제해결지수</t>
        </is>
      </c>
      <c r="C16" s="6" t="inlineStr">
        <is>
          <t>학급/학년/학교</t>
        </is>
      </c>
      <c r="D16" s="6" t="inlineStr">
        <is>
          <t>DPS 문항 평균 점수</t>
        </is>
      </c>
      <c r="E16" s="6">
        <f>AVERAGEIFS(raw_score, domain_code,"DPS")</f>
        <v/>
      </c>
      <c r="F16" s="6" t="inlineStr">
        <is>
          <t>raw_score, domain_code</t>
        </is>
      </c>
      <c r="G16" s="6" t="inlineStr">
        <is>
          <t>막대/레이더</t>
        </is>
      </c>
      <c r="H16" s="6" t="inlineStr">
        <is>
          <t>도구 활용 문제해결력</t>
        </is>
      </c>
    </row>
    <row r="17">
      <c r="A17" s="6" t="inlineStr">
        <is>
          <t>M016</t>
        </is>
      </c>
      <c r="B17" s="6" t="inlineStr">
        <is>
          <t>협업지수</t>
        </is>
      </c>
      <c r="C17" s="6" t="inlineStr">
        <is>
          <t>학급/학년/학교</t>
        </is>
      </c>
      <c r="D17" s="6" t="inlineStr">
        <is>
          <t>COL 문항 평균 점수</t>
        </is>
      </c>
      <c r="E17" s="6">
        <f>AVERAGEIFS(raw_score, domain_code,"COL")</f>
        <v/>
      </c>
      <c r="F17" s="6" t="inlineStr">
        <is>
          <t>raw_score, domain_code</t>
        </is>
      </c>
      <c r="G17" s="6" t="inlineStr">
        <is>
          <t>막대/레이더</t>
        </is>
      </c>
      <c r="H17" s="6" t="inlineStr">
        <is>
          <t>디지털 협업 태도</t>
        </is>
      </c>
    </row>
    <row r="18">
      <c r="A18" s="6" t="inlineStr">
        <is>
          <t>M017</t>
        </is>
      </c>
      <c r="B18" s="6" t="inlineStr">
        <is>
          <t>진로연계인지수</t>
        </is>
      </c>
      <c r="C18" s="6" t="inlineStr">
        <is>
          <t>학급/학년/학교</t>
        </is>
      </c>
      <c r="D18" s="6" t="inlineStr">
        <is>
          <t>CARE 문항 평균 점수</t>
        </is>
      </c>
      <c r="E18" s="6">
        <f>AVERAGEIFS(raw_score, domain_code,"CARE")</f>
        <v/>
      </c>
      <c r="F18" s="6" t="inlineStr">
        <is>
          <t>raw_score, domain_code</t>
        </is>
      </c>
      <c r="G18" s="6" t="inlineStr">
        <is>
          <t>막대</t>
        </is>
      </c>
      <c r="H18" s="6" t="inlineStr">
        <is>
          <t>진로 연결 인식 수준</t>
        </is>
      </c>
    </row>
    <row r="19">
      <c r="A19" s="6" t="inlineStr">
        <is>
          <t>M018</t>
        </is>
      </c>
      <c r="B19" s="6" t="inlineStr">
        <is>
          <t>1차시 기초디지털지수</t>
        </is>
      </c>
      <c r="C19" s="6" t="inlineStr">
        <is>
          <t>학급/학년/학교</t>
        </is>
      </c>
      <c r="D19" s="6" t="inlineStr">
        <is>
          <t>1차시 핵심 영역 종합</t>
        </is>
      </c>
      <c r="E19" s="6">
        <f>AVERAGE(PRIV, SAFE_ACC, INFO, NET, SAFE)</f>
        <v/>
      </c>
      <c r="F19" s="6" t="inlineStr">
        <is>
          <t>domain indices</t>
        </is>
      </c>
      <c r="G19" s="6" t="inlineStr">
        <is>
          <t>KPI 카드/막대</t>
        </is>
      </c>
      <c r="H19" s="6" t="inlineStr">
        <is>
          <t>초기 디지털 기초소양 수준</t>
        </is>
      </c>
    </row>
    <row r="20">
      <c r="A20" s="6" t="inlineStr">
        <is>
          <t>M019</t>
        </is>
      </c>
      <c r="B20" s="6" t="inlineStr">
        <is>
          <t>2차시 AI활용기초지수</t>
        </is>
      </c>
      <c r="C20" s="6" t="inlineStr">
        <is>
          <t>학급/학년/학교</t>
        </is>
      </c>
      <c r="D20" s="6" t="inlineStr">
        <is>
          <t>2차시 핵심 영역 종합</t>
        </is>
      </c>
      <c r="E20" s="6">
        <f>AVERAGE(AIU, AIA/AIC, DPS, COL, CARE)</f>
        <v/>
      </c>
      <c r="F20" s="6" t="inlineStr">
        <is>
          <t>domain indices</t>
        </is>
      </c>
      <c r="G20" s="6" t="inlineStr">
        <is>
          <t>KPI 카드/막대</t>
        </is>
      </c>
      <c r="H20" s="6" t="inlineStr">
        <is>
          <t>초기 AI 활용 태도 수준</t>
        </is>
      </c>
    </row>
    <row r="21">
      <c r="A21" s="6" t="inlineStr">
        <is>
          <t>M020</t>
        </is>
      </c>
      <c r="B21" s="6" t="inlineStr">
        <is>
          <t>anchor 비교지수</t>
        </is>
      </c>
      <c r="C21" s="6" t="inlineStr">
        <is>
          <t>학교/년도간</t>
        </is>
      </c>
      <c r="D21" s="6" t="inlineStr">
        <is>
          <t>기준문항(anchor) 기준 비교값</t>
        </is>
      </c>
      <c r="E21" s="6">
        <f>anchor 문항 평균 점수</f>
        <v/>
      </c>
      <c r="F21" s="6" t="inlineStr">
        <is>
          <t>anchor_flag, raw_score</t>
        </is>
      </c>
      <c r="G21" s="6" t="inlineStr">
        <is>
          <t>막대/추이선</t>
        </is>
      </c>
      <c r="H21" s="6" t="inlineStr">
        <is>
          <t>학교 간 비교 안정성 확보</t>
        </is>
      </c>
    </row>
    <row r="22">
      <c r="A22" s="6" t="inlineStr">
        <is>
          <t>M021</t>
        </is>
      </c>
      <c r="B22" s="6" t="inlineStr">
        <is>
          <t>문항노출균형도</t>
        </is>
      </c>
      <c r="C22" s="6" t="inlineStr">
        <is>
          <t>학급/학년</t>
        </is>
      </c>
      <c r="D22" s="6" t="inlineStr">
        <is>
          <t>랜덤출제 균형 정도</t>
        </is>
      </c>
      <c r="E22" s="6" t="inlineStr">
        <is>
          <t>문항별 노출수의 편차</t>
        </is>
      </c>
      <c r="F22" s="6" t="inlineStr">
        <is>
          <t>item_id, class_id</t>
        </is>
      </c>
      <c r="G22" s="6" t="inlineStr">
        <is>
          <t>막대/테이블</t>
        </is>
      </c>
      <c r="H22" s="6" t="inlineStr">
        <is>
          <t>특정 문항 쏠림 여부 점검</t>
        </is>
      </c>
    </row>
    <row r="23">
      <c r="A23" s="6" t="inlineStr">
        <is>
          <t>M022</t>
        </is>
      </c>
      <c r="B23" s="6" t="inlineStr">
        <is>
          <t>이상응답비율</t>
        </is>
      </c>
      <c r="C23" s="6" t="inlineStr">
        <is>
          <t>학급/학교</t>
        </is>
      </c>
      <c r="D23" s="6" t="inlineStr">
        <is>
          <t>비정상 응답 비율</t>
        </is>
      </c>
      <c r="E23" s="6">
        <f>SUM(abnormal_flag)/응답자수</f>
        <v/>
      </c>
      <c r="F23" s="6" t="inlineStr">
        <is>
          <t>abnormal_flag</t>
        </is>
      </c>
      <c r="G23" s="6" t="inlineStr">
        <is>
          <t>KPI 카드</t>
        </is>
      </c>
      <c r="H23" s="6" t="inlineStr">
        <is>
          <t>시스템/운영 이슈 탐지</t>
        </is>
      </c>
    </row>
  </sheetData>
  <autoFilter ref="A1:H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8" customWidth="1" min="5" max="5"/>
    <col width="16" customWidth="1" min="6" max="6"/>
    <col width="22" customWidth="1" min="7" max="7"/>
    <col width="18" customWidth="1" min="8" max="8"/>
    <col width="14" customWidth="1" min="9" max="9"/>
    <col width="26" customWidth="1" min="10" max="10"/>
    <col width="20" customWidth="1" min="11" max="11"/>
  </cols>
  <sheetData>
    <row r="1">
      <c r="A1" s="1" t="inlineStr">
        <is>
          <t>screen_id</t>
        </is>
      </c>
      <c r="B1" s="1" t="inlineStr">
        <is>
          <t>화면명</t>
        </is>
      </c>
      <c r="C1" s="1" t="inlineStr">
        <is>
          <t>섹션</t>
        </is>
      </c>
      <c r="D1" s="1" t="inlineStr">
        <is>
          <t>widget_id</t>
        </is>
      </c>
      <c r="E1" s="1" t="inlineStr">
        <is>
          <t>위젯명</t>
        </is>
      </c>
      <c r="F1" s="1" t="inlineStr">
        <is>
          <t>차트유형</t>
        </is>
      </c>
      <c r="G1" s="1" t="inlineStr">
        <is>
          <t>주요 지표</t>
        </is>
      </c>
      <c r="H1" s="1" t="inlineStr">
        <is>
          <t>기본 필터</t>
        </is>
      </c>
      <c r="I1" s="1" t="inlineStr">
        <is>
          <t>드릴다운</t>
        </is>
      </c>
      <c r="J1" s="1" t="inlineStr">
        <is>
          <t>화면 목적</t>
        </is>
      </c>
      <c r="K1" s="1" t="inlineStr">
        <is>
          <t>비고</t>
        </is>
      </c>
    </row>
    <row r="2">
      <c r="A2" s="6" t="inlineStr">
        <is>
          <t>D01</t>
        </is>
      </c>
      <c r="B2" s="6" t="inlineStr">
        <is>
          <t>교사용 홈</t>
        </is>
      </c>
      <c r="C2" s="6" t="inlineStr">
        <is>
          <t>상단필터</t>
        </is>
      </c>
      <c r="D2" s="6" t="inlineStr">
        <is>
          <t>W001</t>
        </is>
      </c>
      <c r="E2" s="6" t="inlineStr">
        <is>
          <t>학교/학년/학급/차시 필터</t>
        </is>
      </c>
      <c r="F2" s="6" t="inlineStr">
        <is>
          <t>필터바</t>
        </is>
      </c>
      <c r="G2" s="6" t="inlineStr">
        <is>
          <t>school_id, grade, class_id, lesson_no</t>
        </is>
      </c>
      <c r="H2" s="6" t="inlineStr">
        <is>
          <t>학교, 학년, 학급, 차시</t>
        </is>
      </c>
      <c r="I2" s="6" t="inlineStr">
        <is>
          <t>학급→학생</t>
        </is>
      </c>
      <c r="J2" s="6" t="inlineStr">
        <is>
          <t>전체 조회 범위 설정</t>
        </is>
      </c>
      <c r="K2" s="6" t="inlineStr">
        <is>
          <t>모든 화면 공통</t>
        </is>
      </c>
    </row>
    <row r="3">
      <c r="A3" s="6" t="inlineStr">
        <is>
          <t>D01</t>
        </is>
      </c>
      <c r="B3" s="6" t="inlineStr">
        <is>
          <t>교사용 홈</t>
        </is>
      </c>
      <c r="C3" s="6" t="inlineStr">
        <is>
          <t>KPI</t>
        </is>
      </c>
      <c r="D3" s="6" t="inlineStr">
        <is>
          <t>W002</t>
        </is>
      </c>
      <c r="E3" s="6" t="inlineStr">
        <is>
          <t>참여율 카드</t>
        </is>
      </c>
      <c r="F3" s="6" t="inlineStr">
        <is>
          <t>KPI 카드</t>
        </is>
      </c>
      <c r="G3" s="6" t="inlineStr">
        <is>
          <t>참여율, 무응답률</t>
        </is>
      </c>
      <c r="H3" s="6" t="inlineStr">
        <is>
          <t>학교/학년/차시</t>
        </is>
      </c>
      <c r="I3" s="6" t="inlineStr">
        <is>
          <t>학급</t>
        </is>
      </c>
      <c r="J3" s="6" t="inlineStr">
        <is>
          <t>운영 상태 즉시 확인</t>
        </is>
      </c>
      <c r="K3" s="6" t="inlineStr">
        <is>
          <t>80% 미만 주황 경고</t>
        </is>
      </c>
    </row>
    <row r="4">
      <c r="A4" s="6" t="inlineStr">
        <is>
          <t>D01</t>
        </is>
      </c>
      <c r="B4" s="6" t="inlineStr">
        <is>
          <t>교사용 홈</t>
        </is>
      </c>
      <c r="C4" s="6" t="inlineStr">
        <is>
          <t>KPI</t>
        </is>
      </c>
      <c r="D4" s="6" t="inlineStr">
        <is>
          <t>W003</t>
        </is>
      </c>
      <c r="E4" s="6" t="inlineStr">
        <is>
          <t>기초디지털지수 카드</t>
        </is>
      </c>
      <c r="F4" s="6" t="inlineStr">
        <is>
          <t>KPI 카드</t>
        </is>
      </c>
      <c r="G4" s="6" t="inlineStr">
        <is>
          <t>1차시 기초디지털지수</t>
        </is>
      </c>
      <c r="H4" s="6" t="inlineStr">
        <is>
          <t>학년/학급</t>
        </is>
      </c>
      <c r="I4" s="6" t="inlineStr">
        <is>
          <t>문항영역</t>
        </is>
      </c>
      <c r="J4" s="6" t="inlineStr">
        <is>
          <t>초기 디지털 기초 수준 확인</t>
        </is>
      </c>
      <c r="K4" s="6" t="inlineStr">
        <is>
          <t>1차시 전용</t>
        </is>
      </c>
    </row>
    <row r="5">
      <c r="A5" s="6" t="inlineStr">
        <is>
          <t>D01</t>
        </is>
      </c>
      <c r="B5" s="6" t="inlineStr">
        <is>
          <t>교사용 홈</t>
        </is>
      </c>
      <c r="C5" s="6" t="inlineStr">
        <is>
          <t>KPI</t>
        </is>
      </c>
      <c r="D5" s="6" t="inlineStr">
        <is>
          <t>W004</t>
        </is>
      </c>
      <c r="E5" s="6" t="inlineStr">
        <is>
          <t>AI활용기초지수 카드</t>
        </is>
      </c>
      <c r="F5" s="6" t="inlineStr">
        <is>
          <t>KPI 카드</t>
        </is>
      </c>
      <c r="G5" s="6" t="inlineStr">
        <is>
          <t>2차시 AI활용기초지수</t>
        </is>
      </c>
      <c r="H5" s="6" t="inlineStr">
        <is>
          <t>학년/학급</t>
        </is>
      </c>
      <c r="I5" s="6" t="inlineStr">
        <is>
          <t>문항영역</t>
        </is>
      </c>
      <c r="J5" s="6" t="inlineStr">
        <is>
          <t>초기 AI 활용 수준 확인</t>
        </is>
      </c>
      <c r="K5" s="6" t="inlineStr">
        <is>
          <t>2차시 전용</t>
        </is>
      </c>
    </row>
    <row r="6">
      <c r="A6" s="6" t="inlineStr">
        <is>
          <t>D01</t>
        </is>
      </c>
      <c r="B6" s="6" t="inlineStr">
        <is>
          <t>교사용 홈</t>
        </is>
      </c>
      <c r="C6" s="6" t="inlineStr">
        <is>
          <t>비교</t>
        </is>
      </c>
      <c r="D6" s="6" t="inlineStr">
        <is>
          <t>W005</t>
        </is>
      </c>
      <c r="E6" s="6" t="inlineStr">
        <is>
          <t>학년별 종합지수 비교</t>
        </is>
      </c>
      <c r="F6" s="6" t="inlineStr">
        <is>
          <t>가로막대</t>
        </is>
      </c>
      <c r="G6" s="6" t="inlineStr">
        <is>
          <t>학년종합지수</t>
        </is>
      </c>
      <c r="H6" s="6" t="inlineStr">
        <is>
          <t>학교</t>
        </is>
      </c>
      <c r="I6" s="6" t="inlineStr">
        <is>
          <t>학급</t>
        </is>
      </c>
      <c r="J6" s="6" t="inlineStr">
        <is>
          <t>어느 학년이 상대적으로 강/약한지 비교</t>
        </is>
      </c>
      <c r="K6" s="6" t="inlineStr">
        <is>
          <t>정렬 기능 필요</t>
        </is>
      </c>
    </row>
    <row r="7">
      <c r="A7" s="6" t="inlineStr">
        <is>
          <t>D01</t>
        </is>
      </c>
      <c r="B7" s="6" t="inlineStr">
        <is>
          <t>교사용 홈</t>
        </is>
      </c>
      <c r="C7" s="6" t="inlineStr">
        <is>
          <t>비교</t>
        </is>
      </c>
      <c r="D7" s="6" t="inlineStr">
        <is>
          <t>W006</t>
        </is>
      </c>
      <c r="E7" s="6" t="inlineStr">
        <is>
          <t>영역별 레이더/막대</t>
        </is>
      </c>
      <c r="F7" s="6" t="inlineStr">
        <is>
          <t>레이더 또는 막대</t>
        </is>
      </c>
      <c r="G7" s="6" t="inlineStr">
        <is>
          <t>PRIV~CARE 각 영역지수</t>
        </is>
      </c>
      <c r="H7" s="6" t="inlineStr">
        <is>
          <t>학년/학급</t>
        </is>
      </c>
      <c r="I7" s="6" t="inlineStr">
        <is>
          <t>문항목록</t>
        </is>
      </c>
      <c r="J7" s="6" t="inlineStr">
        <is>
          <t>영역별 강점·보완점 확인</t>
        </is>
      </c>
      <c r="K7" s="6" t="inlineStr">
        <is>
          <t>모바일은 막대 권장</t>
        </is>
      </c>
    </row>
    <row r="8">
      <c r="A8" s="6" t="inlineStr">
        <is>
          <t>D02</t>
        </is>
      </c>
      <c r="B8" s="6" t="inlineStr">
        <is>
          <t>학급 분석</t>
        </is>
      </c>
      <c r="C8" s="6" t="inlineStr">
        <is>
          <t>운영</t>
        </is>
      </c>
      <c r="D8" s="6" t="inlineStr">
        <is>
          <t>W101</t>
        </is>
      </c>
      <c r="E8" s="6" t="inlineStr">
        <is>
          <t>학급별 참여 현황</t>
        </is>
      </c>
      <c r="F8" s="6" t="inlineStr">
        <is>
          <t>세로막대</t>
        </is>
      </c>
      <c r="G8" s="6" t="inlineStr">
        <is>
          <t>학급별 참여율</t>
        </is>
      </c>
      <c r="H8" s="6" t="inlineStr">
        <is>
          <t>학년, 차시</t>
        </is>
      </c>
      <c r="I8" s="6" t="inlineStr">
        <is>
          <t>학생</t>
        </is>
      </c>
      <c r="J8" s="6" t="inlineStr">
        <is>
          <t>학급 운영 안정성 확인</t>
        </is>
      </c>
      <c r="K8" s="6" t="inlineStr">
        <is>
          <t>참여율 기준선 80%</t>
        </is>
      </c>
    </row>
    <row r="9">
      <c r="A9" s="6" t="inlineStr">
        <is>
          <t>D02</t>
        </is>
      </c>
      <c r="B9" s="6" t="inlineStr">
        <is>
          <t>학급 분석</t>
        </is>
      </c>
      <c r="C9" s="6" t="inlineStr">
        <is>
          <t>영역</t>
        </is>
      </c>
      <c r="D9" s="6" t="inlineStr">
        <is>
          <t>W102</t>
        </is>
      </c>
      <c r="E9" s="6" t="inlineStr">
        <is>
          <t>학급×영역 히트맵</t>
        </is>
      </c>
      <c r="F9" s="6" t="inlineStr">
        <is>
          <t>히트맵</t>
        </is>
      </c>
      <c r="G9" s="6" t="inlineStr">
        <is>
          <t>학급별 영역지수</t>
        </is>
      </c>
      <c r="H9" s="6" t="inlineStr">
        <is>
          <t>학년</t>
        </is>
      </c>
      <c r="I9" s="6" t="inlineStr">
        <is>
          <t>문항영역</t>
        </is>
      </c>
      <c r="J9" s="6" t="inlineStr">
        <is>
          <t>어느 반이 어느 영역에서 약한지 한눈에 확인</t>
        </is>
      </c>
      <c r="K9" s="6" t="inlineStr">
        <is>
          <t>색상 단계 5구간</t>
        </is>
      </c>
    </row>
    <row r="10">
      <c r="A10" s="6" t="inlineStr">
        <is>
          <t>D02</t>
        </is>
      </c>
      <c r="B10" s="6" t="inlineStr">
        <is>
          <t>학급 분석</t>
        </is>
      </c>
      <c r="C10" s="6" t="inlineStr">
        <is>
          <t>문항</t>
        </is>
      </c>
      <c r="D10" s="6" t="inlineStr">
        <is>
          <t>W103</t>
        </is>
      </c>
      <c r="E10" s="6" t="inlineStr">
        <is>
          <t>오답선택분포</t>
        </is>
      </c>
      <c r="F10" s="6" t="inlineStr">
        <is>
          <t>누적막대</t>
        </is>
      </c>
      <c r="G10" s="6" t="inlineStr">
        <is>
          <t>보기선택분포</t>
        </is>
      </c>
      <c r="H10" s="6" t="inlineStr">
        <is>
          <t>문항, 학급</t>
        </is>
      </c>
      <c r="I10" s="6" t="inlineStr">
        <is>
          <t>학생목록</t>
        </is>
      </c>
      <c r="J10" s="6" t="inlineStr">
        <is>
          <t>오개념 유형 파악</t>
        </is>
      </c>
      <c r="K10" s="6" t="inlineStr">
        <is>
          <t>문항 클릭 시 상세</t>
        </is>
      </c>
    </row>
    <row r="11">
      <c r="A11" s="6" t="inlineStr">
        <is>
          <t>D03</t>
        </is>
      </c>
      <c r="B11" s="6" t="inlineStr">
        <is>
          <t>문항 분석</t>
        </is>
      </c>
      <c r="C11" s="6" t="inlineStr">
        <is>
          <t>품질</t>
        </is>
      </c>
      <c r="D11" s="6" t="inlineStr">
        <is>
          <t>W201</t>
        </is>
      </c>
      <c r="E11" s="6" t="inlineStr">
        <is>
          <t>문항 정답률 순위</t>
        </is>
      </c>
      <c r="F11" s="6" t="inlineStr">
        <is>
          <t>막대/테이블</t>
        </is>
      </c>
      <c r="G11" s="6" t="inlineStr">
        <is>
          <t>문항정답률</t>
        </is>
      </c>
      <c r="H11" s="6" t="inlineStr">
        <is>
          <t>학년, 차시</t>
        </is>
      </c>
      <c r="I11" s="6" t="inlineStr">
        <is>
          <t>응답원문</t>
        </is>
      </c>
      <c r="J11" s="6" t="inlineStr">
        <is>
          <t>쉬운/어려운 문항 확인</t>
        </is>
      </c>
      <c r="K11" s="6" t="inlineStr">
        <is>
          <t>정렬 기능 필요</t>
        </is>
      </c>
    </row>
    <row r="12">
      <c r="A12" s="6" t="inlineStr">
        <is>
          <t>D03</t>
        </is>
      </c>
      <c r="B12" s="6" t="inlineStr">
        <is>
          <t>문항 분석</t>
        </is>
      </c>
      <c r="C12" s="6" t="inlineStr">
        <is>
          <t>품질</t>
        </is>
      </c>
      <c r="D12" s="6" t="inlineStr">
        <is>
          <t>W202</t>
        </is>
      </c>
      <c r="E12" s="6" t="inlineStr">
        <is>
          <t>anchor 문항 비교</t>
        </is>
      </c>
      <c r="F12" s="6" t="inlineStr">
        <is>
          <t>막대/추이선</t>
        </is>
      </c>
      <c r="G12" s="6" t="inlineStr">
        <is>
          <t>anchor 비교지수</t>
        </is>
      </c>
      <c r="H12" s="6" t="inlineStr">
        <is>
          <t>학교, 학년</t>
        </is>
      </c>
      <c r="I12" s="6" t="inlineStr">
        <is>
          <t>문항상세</t>
        </is>
      </c>
      <c r="J12" s="6" t="inlineStr">
        <is>
          <t>학교 간 비교 안정성 확인</t>
        </is>
      </c>
      <c r="K12" s="6" t="inlineStr">
        <is>
          <t>anchor만 별도 필터</t>
        </is>
      </c>
    </row>
    <row r="13">
      <c r="A13" s="6" t="inlineStr">
        <is>
          <t>D03</t>
        </is>
      </c>
      <c r="B13" s="6" t="inlineStr">
        <is>
          <t>문항 분석</t>
        </is>
      </c>
      <c r="C13" s="6" t="inlineStr">
        <is>
          <t>품질</t>
        </is>
      </c>
      <c r="D13" s="6" t="inlineStr">
        <is>
          <t>W203</t>
        </is>
      </c>
      <c r="E13" s="6" t="inlineStr">
        <is>
          <t>문항 노출 균형도</t>
        </is>
      </c>
      <c r="F13" s="6" t="inlineStr">
        <is>
          <t>막대</t>
        </is>
      </c>
      <c r="G13" s="6" t="inlineStr">
        <is>
          <t>문항노출수</t>
        </is>
      </c>
      <c r="H13" s="6" t="inlineStr">
        <is>
          <t>학년, 차시</t>
        </is>
      </c>
      <c r="I13" s="6" t="inlineStr">
        <is>
          <t>응답로그</t>
        </is>
      </c>
      <c r="J13" s="6" t="inlineStr">
        <is>
          <t>랜덤출제 편향 점검</t>
        </is>
      </c>
      <c r="K13" s="6" t="inlineStr">
        <is>
          <t>편차 큰 경우 알림</t>
        </is>
      </c>
    </row>
    <row r="14">
      <c r="A14" s="6" t="inlineStr">
        <is>
          <t>D04</t>
        </is>
      </c>
      <c r="B14" s="6" t="inlineStr">
        <is>
          <t>추이 분석</t>
        </is>
      </c>
      <c r="C14" s="6" t="inlineStr">
        <is>
          <t>성장</t>
        </is>
      </c>
      <c r="D14" s="6" t="inlineStr">
        <is>
          <t>W301</t>
        </is>
      </c>
      <c r="E14" s="6" t="inlineStr">
        <is>
          <t>차시별 평균지수 추이</t>
        </is>
      </c>
      <c r="F14" s="6" t="inlineStr">
        <is>
          <t>선그래프</t>
        </is>
      </c>
      <c r="G14" s="6" t="inlineStr">
        <is>
          <t>차시별 평균지수</t>
        </is>
      </c>
      <c r="H14" s="6" t="inlineStr">
        <is>
          <t>학교/학년/학급</t>
        </is>
      </c>
      <c r="I14" s="6" t="inlineStr">
        <is>
          <t>문항영역</t>
        </is>
      </c>
      <c r="J14" s="6" t="inlineStr">
        <is>
          <t>1~10차시 성장 흐름 파악</t>
        </is>
      </c>
      <c r="K14" s="6" t="inlineStr">
        <is>
          <t>향후 확장용</t>
        </is>
      </c>
    </row>
    <row r="15">
      <c r="A15" s="6" t="inlineStr">
        <is>
          <t>D04</t>
        </is>
      </c>
      <c r="B15" s="6" t="inlineStr">
        <is>
          <t>추이 분석</t>
        </is>
      </c>
      <c r="C15" s="6" t="inlineStr">
        <is>
          <t>성장</t>
        </is>
      </c>
      <c r="D15" s="6" t="inlineStr">
        <is>
          <t>W302</t>
        </is>
      </c>
      <c r="E15" s="6" t="inlineStr">
        <is>
          <t>anchor 추이</t>
        </is>
      </c>
      <c r="F15" s="6" t="inlineStr">
        <is>
          <t>선그래프</t>
        </is>
      </c>
      <c r="G15" s="6" t="inlineStr">
        <is>
          <t>anchor 평균점수</t>
        </is>
      </c>
      <c r="H15" s="6" t="inlineStr">
        <is>
          <t>학년</t>
        </is>
      </c>
      <c r="I15" s="6" t="inlineStr">
        <is>
          <t>문항상세</t>
        </is>
      </c>
      <c r="J15" s="6" t="inlineStr">
        <is>
          <t>기준문항 중심 성장 비교</t>
        </is>
      </c>
      <c r="K15" s="6" t="inlineStr">
        <is>
          <t>연도 비교 가능</t>
        </is>
      </c>
    </row>
    <row r="16">
      <c r="A16" s="6" t="inlineStr">
        <is>
          <t>D05</t>
        </is>
      </c>
      <c r="B16" s="6" t="inlineStr">
        <is>
          <t>보고서 생성</t>
        </is>
      </c>
      <c r="C16" s="6" t="inlineStr">
        <is>
          <t>요약</t>
        </is>
      </c>
      <c r="D16" s="6" t="inlineStr">
        <is>
          <t>W401</t>
        </is>
      </c>
      <c r="E16" s="6" t="inlineStr">
        <is>
          <t>자동 해석 문구</t>
        </is>
      </c>
      <c r="F16" s="6" t="inlineStr">
        <is>
          <t>텍스트 블록</t>
        </is>
      </c>
      <c r="G16" s="6" t="inlineStr">
        <is>
          <t>영역 강약점, 참여율, 경고지표</t>
        </is>
      </c>
      <c r="H16" s="6" t="inlineStr">
        <is>
          <t>학년/학급</t>
        </is>
      </c>
      <c r="I16" s="6" t="inlineStr">
        <is>
          <t>없음</t>
        </is>
      </c>
      <c r="J16" s="6" t="inlineStr">
        <is>
          <t>교사용 보고서 자동 생성</t>
        </is>
      </c>
      <c r="K16" s="6" t="inlineStr">
        <is>
          <t>PDF 출력 연계</t>
        </is>
      </c>
    </row>
  </sheetData>
  <autoFilter ref="A1:K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44" customWidth="1" min="4" max="4"/>
  </cols>
  <sheetData>
    <row r="1">
      <c r="A1" s="1" t="inlineStr">
        <is>
          <t>rule_id</t>
        </is>
      </c>
      <c r="B1" s="1" t="inlineStr">
        <is>
          <t>조건</t>
        </is>
      </c>
      <c r="C1" s="1" t="inlineStr">
        <is>
          <t>자동 문구</t>
        </is>
      </c>
      <c r="D1" s="1" t="inlineStr">
        <is>
          <t>권장 교사 코멘트</t>
        </is>
      </c>
    </row>
    <row r="2">
      <c r="A2" s="6" t="inlineStr">
        <is>
          <t>R001</t>
        </is>
      </c>
      <c r="B2" s="6" t="inlineStr">
        <is>
          <t>참여율 &lt; 80%</t>
        </is>
      </c>
      <c r="C2" s="6" t="inlineStr">
        <is>
          <t>응답 참여율이 낮아 결과 해석 전 운영 환경 점검이 필요합니다.</t>
        </is>
      </c>
      <c r="D2" s="6" t="inlineStr">
        <is>
          <t>접속 안내, 기기 상태, 시간 배분을 우선 점검해 주세요.</t>
        </is>
      </c>
    </row>
    <row r="3">
      <c r="A3" s="6" t="inlineStr">
        <is>
          <t>R002</t>
        </is>
      </c>
      <c r="B3" s="6" t="inlineStr">
        <is>
          <t>정보신뢰성지수 &lt; 60</t>
        </is>
      </c>
      <c r="C3" s="6" t="inlineStr">
        <is>
          <t>온라인 정보의 출처와 신뢰도 판단에 보완이 필요합니다.</t>
        </is>
      </c>
      <c r="D3" s="6" t="inlineStr">
        <is>
          <t>다음 차시에서 출처 확인, 비교 검색 활동을 강화해 주세요.</t>
        </is>
      </c>
    </row>
    <row r="4">
      <c r="A4" s="6" t="inlineStr">
        <is>
          <t>R003</t>
        </is>
      </c>
      <c r="B4" s="6" t="inlineStr">
        <is>
          <t>개인정보보호지수 &lt; 60</t>
        </is>
      </c>
      <c r="C4" s="6" t="inlineStr">
        <is>
          <t>개인정보 노출 위험에 대한 인식이 낮게 나타났습니다.</t>
        </is>
      </c>
      <c r="D4" s="6" t="inlineStr">
        <is>
          <t>개인정보 최소 제공, 비밀번호 관리 사례를 추가 지도해 주세요.</t>
        </is>
      </c>
    </row>
    <row r="5">
      <c r="A5" s="6" t="inlineStr">
        <is>
          <t>R004</t>
        </is>
      </c>
      <c r="B5" s="6" t="inlineStr">
        <is>
          <t>AI비판적활용지수 &lt; 60</t>
        </is>
      </c>
      <c r="C5" s="6" t="inlineStr">
        <is>
          <t>AI 결과를 그대로 수용하는 경향이 관찰됩니다.</t>
        </is>
      </c>
      <c r="D5" s="6" t="inlineStr">
        <is>
          <t>AI 결과 검토, 교차 확인, 자기 판단 덧붙이기 활동을 권장합니다.</t>
        </is>
      </c>
    </row>
    <row r="6">
      <c r="A6" s="6" t="inlineStr">
        <is>
          <t>R005</t>
        </is>
      </c>
      <c r="B6" s="6" t="inlineStr">
        <is>
          <t>문제해결지수 &lt; 60</t>
        </is>
      </c>
      <c r="C6" s="6" t="inlineStr">
        <is>
          <t>디지털 문제를 단계적으로 해결하는 태도가 부족할 수 있습니다.</t>
        </is>
      </c>
      <c r="D6" s="6" t="inlineStr">
        <is>
          <t>문제 정의-원인 확인-재시도-도움 요청 절차를 반복 연습해 주세요.</t>
        </is>
      </c>
    </row>
    <row r="7">
      <c r="A7" s="6" t="inlineStr">
        <is>
          <t>R006</t>
        </is>
      </c>
      <c r="B7" s="6" t="inlineStr">
        <is>
          <t>협업지수 &lt; 60</t>
        </is>
      </c>
      <c r="C7" s="6" t="inlineStr">
        <is>
          <t>디지털 협업 과정의 역할 분담과 책임성이 더 필요합니다.</t>
        </is>
      </c>
      <c r="D7" s="6" t="inlineStr">
        <is>
          <t>공동 문서 역할 분담, 수정 기록 확인 활동을 권장합니다.</t>
        </is>
      </c>
    </row>
    <row r="8">
      <c r="A8" s="6" t="inlineStr">
        <is>
          <t>R007</t>
        </is>
      </c>
      <c r="B8" s="6" t="inlineStr">
        <is>
          <t>1차시 기초디지털지수 ≥ 80</t>
        </is>
      </c>
      <c r="C8" s="6" t="inlineStr">
        <is>
          <t>기초 디지털 소양이 비교적 안정적으로 형성되어 있습니다.</t>
        </is>
      </c>
      <c r="D8" s="6" t="inlineStr">
        <is>
          <t>심화형 정보 검증 활동으로 확장해도 좋습니다.</t>
        </is>
      </c>
    </row>
    <row r="9">
      <c r="A9" s="6" t="inlineStr">
        <is>
          <t>R008</t>
        </is>
      </c>
      <c r="B9" s="6" t="inlineStr">
        <is>
          <t>2차시 AI활용기초지수 ≥ 80</t>
        </is>
      </c>
      <c r="C9" s="6" t="inlineStr">
        <is>
          <t>AI 도구를 비교적 책임 있게 활용하려는 태도가 나타납니다.</t>
        </is>
      </c>
      <c r="D9" s="6" t="inlineStr">
        <is>
          <t>심화형 검토·수정 활동으로 발전시켜 주세요.</t>
        </is>
      </c>
    </row>
  </sheetData>
  <autoFilter ref="A1:D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24" customWidth="1" min="4" max="4"/>
  </cols>
  <sheetData>
    <row r="1">
      <c r="A1" s="1" t="inlineStr">
        <is>
          <t>단계</t>
        </is>
      </c>
      <c r="B1" s="1" t="inlineStr">
        <is>
          <t>입력</t>
        </is>
      </c>
      <c r="C1" s="1" t="inlineStr">
        <is>
          <t>처리</t>
        </is>
      </c>
      <c r="D1" s="1" t="inlineStr">
        <is>
          <t>출력</t>
        </is>
      </c>
    </row>
    <row r="2">
      <c r="A2" s="6" t="inlineStr">
        <is>
          <t>1. 응답수집</t>
        </is>
      </c>
      <c r="B2" s="6" t="inlineStr">
        <is>
          <t>응답데이터템플릿</t>
        </is>
      </c>
      <c r="C2" s="6" t="inlineStr">
        <is>
          <t>학생별 응답 로그 저장</t>
        </is>
      </c>
      <c r="D2" s="6" t="inlineStr">
        <is>
          <t>raw response data</t>
        </is>
      </c>
    </row>
    <row r="3">
      <c r="A3" s="6" t="inlineStr">
        <is>
          <t>2. 문항매핑</t>
        </is>
      </c>
      <c r="B3" s="6" t="inlineStr">
        <is>
          <t>item_id → 문항마스터</t>
        </is>
      </c>
      <c r="C3" s="6" t="inlineStr">
        <is>
          <t>domain_code, anchor_flag, difficulty_band 결합</t>
        </is>
      </c>
      <c r="D3" s="6" t="inlineStr">
        <is>
          <t>enriched response data</t>
        </is>
      </c>
    </row>
    <row r="4">
      <c r="A4" s="6" t="inlineStr">
        <is>
          <t>3. 집계</t>
        </is>
      </c>
      <c r="B4" s="6" t="inlineStr">
        <is>
          <t>학급/학년/학교 기준 그룹화</t>
        </is>
      </c>
      <c r="C4" s="6" t="inlineStr">
        <is>
          <t>참여율, 정답률, 영역지수 산출</t>
        </is>
      </c>
      <c r="D4" s="6" t="inlineStr">
        <is>
          <t>aggregated metrics</t>
        </is>
      </c>
    </row>
    <row r="5">
      <c r="A5" s="6" t="inlineStr">
        <is>
          <t>4. 품질점검</t>
        </is>
      </c>
      <c r="B5" s="6" t="inlineStr">
        <is>
          <t>문항노출수, abnormal_flag</t>
        </is>
      </c>
      <c r="C5" s="6" t="inlineStr">
        <is>
          <t>노출 편향, 이상응답 탐지</t>
        </is>
      </c>
      <c r="D5" s="6" t="inlineStr">
        <is>
          <t>quality flags</t>
        </is>
      </c>
    </row>
    <row r="6">
      <c r="A6" s="6" t="inlineStr">
        <is>
          <t>5. 시각화</t>
        </is>
      </c>
      <c r="B6" s="6" t="inlineStr">
        <is>
          <t>aggregated metrics</t>
        </is>
      </c>
      <c r="C6" s="6" t="inlineStr">
        <is>
          <t>대시보드설계 기준 차트 생성</t>
        </is>
      </c>
      <c r="D6" s="6" t="inlineStr">
        <is>
          <t>teacher dashboard</t>
        </is>
      </c>
    </row>
    <row r="7">
      <c r="A7" s="6" t="inlineStr">
        <is>
          <t>6. 보고서생성</t>
        </is>
      </c>
      <c r="B7" s="6" t="inlineStr">
        <is>
          <t>metrics + rule set</t>
        </is>
      </c>
      <c r="C7" s="6" t="inlineStr">
        <is>
          <t>보고서문구 규칙 적용</t>
        </is>
      </c>
      <c r="D7" s="6" t="inlineStr">
        <is>
          <t>teacher PDF / HTML report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2026-03-16T06:41:21Z</dcterms:created>
  <dcterms:modified xmlns:dcterms="http://purl.org/dc/terms/" xmlns:xsi="http://www.w3.org/2001/XMLSchema-instance" xsi:type="dcterms:W3CDTF">2026-03-16T06:49:50Z</dcterms:modified>
</cp:coreProperties>
</file>